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02\Desktop\Projeto Bootcamp Excel\"/>
    </mc:Choice>
  </mc:AlternateContent>
  <xr:revisionPtr revIDLastSave="0" documentId="13_ncr:1_{A70D32FF-4B0C-417A-BD08-A503DBFC9D58}" xr6:coauthVersionLast="47" xr6:coauthVersionMax="47" xr10:uidLastSave="{00000000-0000-0000-0000-000000000000}"/>
  <bookViews>
    <workbookView xWindow="20370" yWindow="-120" windowWidth="20730" windowHeight="11160" tabRatio="0" firstSheet="2" activeTab="2" xr2:uid="{E94B16AB-32F9-4011-8991-F8AC094BFB98}"/>
  </bookViews>
  <sheets>
    <sheet name="Perfil" sheetId="1" r:id="rId1"/>
    <sheet name="Ativos" sheetId="3" r:id="rId2"/>
    <sheet name="Simulador" sheetId="4" r:id="rId3"/>
    <sheet name="Painel" sheetId="7" r:id="rId4"/>
  </sheets>
  <definedNames>
    <definedName name="objetivo">Perfil!$C$10</definedName>
    <definedName name="prazo">Perfil!$C$8</definedName>
    <definedName name="tolerancia">Perfil!$C$12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380" i="4" l="1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E388" i="4"/>
  <c r="E430" i="4"/>
  <c r="E473" i="4"/>
  <c r="E497" i="4"/>
  <c r="E518" i="4"/>
  <c r="E540" i="4"/>
  <c r="E561" i="4"/>
  <c r="E577" i="4"/>
  <c r="E593" i="4"/>
  <c r="E609" i="4"/>
  <c r="C20" i="4"/>
  <c r="B20" i="4"/>
  <c r="E14" i="4"/>
  <c r="E15" i="4"/>
  <c r="E16" i="4"/>
  <c r="E13" i="4"/>
  <c r="A20" i="4" a="1"/>
  <c r="C13" i="1"/>
  <c r="C14" i="1" s="1"/>
  <c r="C21" i="4" l="1"/>
  <c r="D20" i="4"/>
  <c r="E383" i="4"/>
  <c r="E387" i="4"/>
  <c r="E391" i="4"/>
  <c r="E395" i="4"/>
  <c r="E399" i="4"/>
  <c r="E403" i="4"/>
  <c r="E407" i="4"/>
  <c r="E411" i="4"/>
  <c r="E415" i="4"/>
  <c r="E419" i="4"/>
  <c r="E423" i="4"/>
  <c r="E427" i="4"/>
  <c r="E431" i="4"/>
  <c r="E435" i="4"/>
  <c r="E439" i="4"/>
  <c r="E443" i="4"/>
  <c r="E447" i="4"/>
  <c r="E451" i="4"/>
  <c r="E455" i="4"/>
  <c r="E459" i="4"/>
  <c r="E463" i="4"/>
  <c r="E467" i="4"/>
  <c r="E471" i="4"/>
  <c r="E381" i="4"/>
  <c r="E386" i="4"/>
  <c r="E392" i="4"/>
  <c r="E397" i="4"/>
  <c r="E402" i="4"/>
  <c r="E408" i="4"/>
  <c r="E413" i="4"/>
  <c r="E418" i="4"/>
  <c r="E424" i="4"/>
  <c r="E429" i="4"/>
  <c r="E434" i="4"/>
  <c r="E440" i="4"/>
  <c r="E445" i="4"/>
  <c r="E450" i="4"/>
  <c r="E456" i="4"/>
  <c r="E461" i="4"/>
  <c r="E466" i="4"/>
  <c r="E472" i="4"/>
  <c r="E476" i="4"/>
  <c r="E480" i="4"/>
  <c r="E380" i="4"/>
  <c r="E385" i="4"/>
  <c r="E390" i="4"/>
  <c r="E396" i="4"/>
  <c r="E401" i="4"/>
  <c r="E406" i="4"/>
  <c r="E412" i="4"/>
  <c r="E417" i="4"/>
  <c r="E422" i="4"/>
  <c r="E428" i="4"/>
  <c r="E433" i="4"/>
  <c r="E438" i="4"/>
  <c r="E444" i="4"/>
  <c r="E449" i="4"/>
  <c r="E454" i="4"/>
  <c r="E460" i="4"/>
  <c r="E465" i="4"/>
  <c r="E470" i="4"/>
  <c r="E475" i="4"/>
  <c r="E479" i="4"/>
  <c r="E483" i="4"/>
  <c r="E487" i="4"/>
  <c r="E491" i="4"/>
  <c r="E495" i="4"/>
  <c r="E499" i="4"/>
  <c r="E503" i="4"/>
  <c r="E507" i="4"/>
  <c r="E511" i="4"/>
  <c r="E515" i="4"/>
  <c r="E519" i="4"/>
  <c r="E523" i="4"/>
  <c r="E527" i="4"/>
  <c r="E531" i="4"/>
  <c r="E535" i="4"/>
  <c r="E539" i="4"/>
  <c r="E543" i="4"/>
  <c r="E547" i="4"/>
  <c r="E551" i="4"/>
  <c r="E555" i="4"/>
  <c r="E559" i="4"/>
  <c r="E382" i="4"/>
  <c r="E393" i="4"/>
  <c r="E404" i="4"/>
  <c r="E414" i="4"/>
  <c r="E425" i="4"/>
  <c r="E436" i="4"/>
  <c r="E446" i="4"/>
  <c r="E457" i="4"/>
  <c r="E468" i="4"/>
  <c r="E477" i="4"/>
  <c r="E484" i="4"/>
  <c r="E489" i="4"/>
  <c r="E494" i="4"/>
  <c r="E500" i="4"/>
  <c r="E505" i="4"/>
  <c r="E510" i="4"/>
  <c r="E516" i="4"/>
  <c r="E521" i="4"/>
  <c r="E526" i="4"/>
  <c r="E532" i="4"/>
  <c r="E537" i="4"/>
  <c r="E542" i="4"/>
  <c r="E548" i="4"/>
  <c r="E553" i="4"/>
  <c r="E558" i="4"/>
  <c r="E563" i="4"/>
  <c r="E567" i="4"/>
  <c r="E571" i="4"/>
  <c r="E575" i="4"/>
  <c r="E579" i="4"/>
  <c r="E583" i="4"/>
  <c r="E587" i="4"/>
  <c r="E591" i="4"/>
  <c r="E595" i="4"/>
  <c r="E599" i="4"/>
  <c r="E603" i="4"/>
  <c r="E607" i="4"/>
  <c r="E611" i="4"/>
  <c r="E615" i="4"/>
  <c r="E619" i="4"/>
  <c r="E384" i="4"/>
  <c r="E394" i="4"/>
  <c r="E405" i="4"/>
  <c r="E416" i="4"/>
  <c r="E426" i="4"/>
  <c r="E437" i="4"/>
  <c r="E448" i="4"/>
  <c r="E458" i="4"/>
  <c r="E469" i="4"/>
  <c r="E478" i="4"/>
  <c r="E485" i="4"/>
  <c r="E490" i="4"/>
  <c r="E496" i="4"/>
  <c r="E501" i="4"/>
  <c r="E506" i="4"/>
  <c r="E512" i="4"/>
  <c r="E517" i="4"/>
  <c r="E522" i="4"/>
  <c r="E528" i="4"/>
  <c r="E533" i="4"/>
  <c r="E538" i="4"/>
  <c r="E544" i="4"/>
  <c r="E549" i="4"/>
  <c r="E554" i="4"/>
  <c r="E560" i="4"/>
  <c r="E564" i="4"/>
  <c r="E568" i="4"/>
  <c r="E572" i="4"/>
  <c r="E576" i="4"/>
  <c r="E580" i="4"/>
  <c r="E584" i="4"/>
  <c r="E588" i="4"/>
  <c r="E592" i="4"/>
  <c r="E596" i="4"/>
  <c r="E600" i="4"/>
  <c r="E604" i="4"/>
  <c r="E608" i="4"/>
  <c r="E612" i="4"/>
  <c r="E616" i="4"/>
  <c r="E398" i="4"/>
  <c r="E420" i="4"/>
  <c r="E441" i="4"/>
  <c r="E462" i="4"/>
  <c r="E481" i="4"/>
  <c r="E492" i="4"/>
  <c r="E502" i="4"/>
  <c r="E513" i="4"/>
  <c r="E524" i="4"/>
  <c r="E534" i="4"/>
  <c r="E545" i="4"/>
  <c r="E556" i="4"/>
  <c r="E565" i="4"/>
  <c r="E573" i="4"/>
  <c r="E581" i="4"/>
  <c r="E589" i="4"/>
  <c r="E597" i="4"/>
  <c r="E605" i="4"/>
  <c r="E613" i="4"/>
  <c r="E389" i="4"/>
  <c r="E410" i="4"/>
  <c r="E432" i="4"/>
  <c r="E453" i="4"/>
  <c r="E474" i="4"/>
  <c r="E488" i="4"/>
  <c r="E498" i="4"/>
  <c r="E509" i="4"/>
  <c r="E520" i="4"/>
  <c r="E530" i="4"/>
  <c r="E541" i="4"/>
  <c r="E552" i="4"/>
  <c r="E562" i="4"/>
  <c r="E570" i="4"/>
  <c r="E578" i="4"/>
  <c r="E586" i="4"/>
  <c r="E594" i="4"/>
  <c r="E602" i="4"/>
  <c r="E610" i="4"/>
  <c r="E618" i="4"/>
  <c r="E400" i="4"/>
  <c r="E442" i="4"/>
  <c r="E482" i="4"/>
  <c r="E504" i="4"/>
  <c r="E525" i="4"/>
  <c r="E546" i="4"/>
  <c r="E566" i="4"/>
  <c r="E582" i="4"/>
  <c r="E598" i="4"/>
  <c r="E614" i="4"/>
  <c r="E617" i="4"/>
  <c r="E601" i="4"/>
  <c r="E585" i="4"/>
  <c r="E569" i="4"/>
  <c r="E550" i="4"/>
  <c r="E529" i="4"/>
  <c r="E508" i="4"/>
  <c r="E486" i="4"/>
  <c r="E452" i="4"/>
  <c r="E409" i="4"/>
  <c r="E606" i="4"/>
  <c r="E590" i="4"/>
  <c r="E574" i="4"/>
  <c r="E557" i="4"/>
  <c r="E536" i="4"/>
  <c r="E514" i="4"/>
  <c r="E493" i="4"/>
  <c r="E464" i="4"/>
  <c r="E421" i="4"/>
  <c r="A20" i="4"/>
  <c r="C3" i="3"/>
  <c r="G7" i="3" s="1"/>
  <c r="C14" i="4" l="1"/>
  <c r="K13" i="7"/>
  <c r="L13" i="7" s="1"/>
  <c r="C22" i="4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G6" i="3"/>
  <c r="G8" i="3"/>
  <c r="G9" i="3"/>
  <c r="M1" i="7" l="1"/>
  <c r="C16" i="4"/>
  <c r="K15" i="7"/>
  <c r="L15" i="7" s="1"/>
  <c r="C15" i="4"/>
  <c r="K14" i="7"/>
  <c r="L14" i="7" s="1"/>
  <c r="C13" i="4"/>
  <c r="K12" i="7"/>
  <c r="L12" i="7" s="1"/>
  <c r="C10" i="4"/>
  <c r="E345" i="4" l="1"/>
  <c r="E260" i="4"/>
  <c r="E302" i="4"/>
  <c r="E275" i="4"/>
  <c r="E291" i="4"/>
  <c r="E307" i="4"/>
  <c r="E323" i="4"/>
  <c r="E339" i="4"/>
  <c r="E355" i="4"/>
  <c r="E371" i="4"/>
  <c r="E274" i="4"/>
  <c r="E296" i="4"/>
  <c r="E317" i="4"/>
  <c r="E338" i="4"/>
  <c r="E360" i="4"/>
  <c r="E262" i="4"/>
  <c r="E284" i="4"/>
  <c r="E305" i="4"/>
  <c r="E326" i="4"/>
  <c r="E348" i="4"/>
  <c r="E369" i="4"/>
  <c r="E286" i="4"/>
  <c r="E329" i="4"/>
  <c r="E372" i="4"/>
  <c r="E298" i="4"/>
  <c r="E341" i="4"/>
  <c r="E292" i="4"/>
  <c r="E377" i="4"/>
  <c r="E261" i="4"/>
  <c r="E346" i="4"/>
  <c r="E357" i="4"/>
  <c r="E267" i="4"/>
  <c r="E283" i="4"/>
  <c r="E299" i="4"/>
  <c r="E315" i="4"/>
  <c r="E331" i="4"/>
  <c r="E347" i="4"/>
  <c r="E363" i="4"/>
  <c r="E379" i="4"/>
  <c r="E264" i="4"/>
  <c r="E285" i="4"/>
  <c r="E306" i="4"/>
  <c r="E328" i="4"/>
  <c r="E370" i="4"/>
  <c r="E316" i="4"/>
  <c r="E358" i="4"/>
  <c r="E308" i="4"/>
  <c r="E277" i="4"/>
  <c r="E362" i="4"/>
  <c r="E287" i="4"/>
  <c r="E351" i="4"/>
  <c r="E290" i="4"/>
  <c r="E333" i="4"/>
  <c r="E376" i="4"/>
  <c r="E278" i="4"/>
  <c r="E321" i="4"/>
  <c r="E364" i="4"/>
  <c r="E318" i="4"/>
  <c r="E330" i="4"/>
  <c r="E356" i="4"/>
  <c r="E325" i="4"/>
  <c r="E314" i="4"/>
  <c r="E281" i="4"/>
  <c r="E263" i="4"/>
  <c r="E279" i="4"/>
  <c r="E295" i="4"/>
  <c r="E311" i="4"/>
  <c r="E327" i="4"/>
  <c r="E343" i="4"/>
  <c r="E359" i="4"/>
  <c r="E375" i="4"/>
  <c r="E280" i="4"/>
  <c r="E301" i="4"/>
  <c r="E322" i="4"/>
  <c r="E344" i="4"/>
  <c r="E365" i="4"/>
  <c r="E268" i="4"/>
  <c r="E289" i="4"/>
  <c r="E310" i="4"/>
  <c r="E332" i="4"/>
  <c r="E353" i="4"/>
  <c r="E374" i="4"/>
  <c r="E297" i="4"/>
  <c r="E340" i="4"/>
  <c r="E266" i="4"/>
  <c r="E309" i="4"/>
  <c r="E352" i="4"/>
  <c r="E313" i="4"/>
  <c r="E282" i="4"/>
  <c r="E368" i="4"/>
  <c r="E366" i="4"/>
  <c r="E378" i="4"/>
  <c r="E349" i="4"/>
  <c r="E273" i="4"/>
  <c r="E294" i="4"/>
  <c r="E337" i="4"/>
  <c r="E265" i="4"/>
  <c r="E350" i="4"/>
  <c r="E320" i="4"/>
  <c r="E334" i="4"/>
  <c r="E304" i="4"/>
  <c r="E272" i="4"/>
  <c r="E324" i="4"/>
  <c r="E336" i="4"/>
  <c r="E271" i="4"/>
  <c r="E303" i="4"/>
  <c r="E319" i="4"/>
  <c r="E335" i="4"/>
  <c r="E367" i="4"/>
  <c r="E269" i="4"/>
  <c r="E312" i="4"/>
  <c r="E354" i="4"/>
  <c r="E300" i="4"/>
  <c r="E342" i="4"/>
  <c r="E276" i="4"/>
  <c r="E361" i="4"/>
  <c r="E288" i="4"/>
  <c r="E373" i="4"/>
  <c r="E270" i="4"/>
  <c r="E293" i="4"/>
  <c r="E174" i="4"/>
  <c r="E217" i="4"/>
  <c r="E143" i="4"/>
  <c r="E159" i="4"/>
  <c r="E175" i="4"/>
  <c r="E191" i="4"/>
  <c r="E207" i="4"/>
  <c r="E223" i="4"/>
  <c r="E239" i="4"/>
  <c r="E255" i="4"/>
  <c r="E146" i="4"/>
  <c r="E168" i="4"/>
  <c r="E189" i="4"/>
  <c r="E210" i="4"/>
  <c r="E232" i="4"/>
  <c r="E253" i="4"/>
  <c r="E140" i="4"/>
  <c r="E161" i="4"/>
  <c r="E182" i="4"/>
  <c r="E204" i="4"/>
  <c r="E225" i="4"/>
  <c r="E246" i="4"/>
  <c r="E180" i="4"/>
  <c r="E222" i="4"/>
  <c r="E170" i="4"/>
  <c r="E213" i="4"/>
  <c r="E256" i="4"/>
  <c r="E164" i="4"/>
  <c r="E249" i="4"/>
  <c r="E197" i="4"/>
  <c r="E186" i="4"/>
  <c r="E238" i="4"/>
  <c r="E208" i="4"/>
  <c r="E142" i="4"/>
  <c r="E250" i="4"/>
  <c r="E147" i="4"/>
  <c r="E163" i="4"/>
  <c r="E179" i="4"/>
  <c r="E195" i="4"/>
  <c r="E211" i="4"/>
  <c r="E227" i="4"/>
  <c r="E243" i="4"/>
  <c r="E259" i="4"/>
  <c r="E152" i="4"/>
  <c r="E173" i="4"/>
  <c r="E194" i="4"/>
  <c r="E216" i="4"/>
  <c r="E237" i="4"/>
  <c r="E258" i="4"/>
  <c r="E145" i="4"/>
  <c r="E166" i="4"/>
  <c r="E188" i="4"/>
  <c r="E209" i="4"/>
  <c r="E230" i="4"/>
  <c r="E252" i="4"/>
  <c r="E148" i="4"/>
  <c r="E190" i="4"/>
  <c r="E233" i="4"/>
  <c r="E181" i="4"/>
  <c r="E224" i="4"/>
  <c r="E185" i="4"/>
  <c r="E218" i="4"/>
  <c r="E229" i="4"/>
  <c r="E165" i="4"/>
  <c r="E196" i="4"/>
  <c r="E153" i="4"/>
  <c r="E171" i="4"/>
  <c r="E203" i="4"/>
  <c r="E235" i="4"/>
  <c r="E141" i="4"/>
  <c r="E184" i="4"/>
  <c r="E226" i="4"/>
  <c r="E156" i="4"/>
  <c r="E198" i="4"/>
  <c r="E241" i="4"/>
  <c r="E169" i="4"/>
  <c r="E254" i="4"/>
  <c r="E160" i="4"/>
  <c r="E245" i="4"/>
  <c r="E176" i="4"/>
  <c r="E151" i="4"/>
  <c r="E167" i="4"/>
  <c r="E183" i="4"/>
  <c r="E199" i="4"/>
  <c r="E215" i="4"/>
  <c r="E231" i="4"/>
  <c r="E247" i="4"/>
  <c r="E157" i="4"/>
  <c r="E178" i="4"/>
  <c r="E200" i="4"/>
  <c r="E221" i="4"/>
  <c r="E242" i="4"/>
  <c r="E150" i="4"/>
  <c r="E172" i="4"/>
  <c r="E193" i="4"/>
  <c r="E214" i="4"/>
  <c r="E236" i="4"/>
  <c r="E257" i="4"/>
  <c r="E158" i="4"/>
  <c r="E201" i="4"/>
  <c r="E244" i="4"/>
  <c r="E149" i="4"/>
  <c r="E192" i="4"/>
  <c r="E234" i="4"/>
  <c r="E206" i="4"/>
  <c r="E154" i="4"/>
  <c r="E240" i="4"/>
  <c r="E155" i="4"/>
  <c r="E187" i="4"/>
  <c r="E219" i="4"/>
  <c r="E251" i="4"/>
  <c r="E162" i="4"/>
  <c r="E205" i="4"/>
  <c r="E248" i="4"/>
  <c r="E177" i="4"/>
  <c r="E220" i="4"/>
  <c r="E212" i="4"/>
  <c r="E202" i="4"/>
  <c r="E228" i="4"/>
  <c r="E144" i="4"/>
  <c r="E20" i="4"/>
  <c r="F20" i="4" s="1"/>
  <c r="G20" i="4" s="1"/>
  <c r="B21" i="4" s="1"/>
  <c r="D21" i="4" s="1"/>
  <c r="E24" i="4"/>
  <c r="E40" i="4"/>
  <c r="E51" i="4"/>
  <c r="E63" i="4"/>
  <c r="E72" i="4"/>
  <c r="E83" i="4"/>
  <c r="E95" i="4"/>
  <c r="E104" i="4"/>
  <c r="E114" i="4"/>
  <c r="E122" i="4"/>
  <c r="E43" i="4"/>
  <c r="E87" i="4"/>
  <c r="E123" i="4"/>
  <c r="E138" i="4"/>
  <c r="E55" i="4"/>
  <c r="E96" i="4"/>
  <c r="E128" i="4"/>
  <c r="E64" i="4"/>
  <c r="E107" i="4"/>
  <c r="E130" i="4"/>
  <c r="E27" i="4"/>
  <c r="E75" i="4"/>
  <c r="E116" i="4"/>
  <c r="E135" i="4"/>
  <c r="E25" i="4"/>
  <c r="E41" i="4"/>
  <c r="E57" i="4"/>
  <c r="E73" i="4"/>
  <c r="E89" i="4"/>
  <c r="E105" i="4"/>
  <c r="E121" i="4"/>
  <c r="E137" i="4"/>
  <c r="E34" i="4"/>
  <c r="E50" i="4"/>
  <c r="E66" i="4"/>
  <c r="E82" i="4"/>
  <c r="E98" i="4"/>
  <c r="E31" i="4"/>
  <c r="E52" i="4"/>
  <c r="E84" i="4"/>
  <c r="E115" i="4"/>
  <c r="E136" i="4"/>
  <c r="E32" i="4"/>
  <c r="E79" i="4"/>
  <c r="E118" i="4"/>
  <c r="E119" i="4"/>
  <c r="E80" i="4"/>
  <c r="E35" i="4"/>
  <c r="E45" i="4"/>
  <c r="E61" i="4"/>
  <c r="E77" i="4"/>
  <c r="E93" i="4"/>
  <c r="E125" i="4"/>
  <c r="E38" i="4"/>
  <c r="E70" i="4"/>
  <c r="E102" i="4"/>
  <c r="E28" i="4"/>
  <c r="E47" i="4"/>
  <c r="E124" i="4"/>
  <c r="E112" i="4"/>
  <c r="E67" i="4"/>
  <c r="E91" i="4"/>
  <c r="E29" i="4"/>
  <c r="E109" i="4"/>
  <c r="E22" i="4"/>
  <c r="E54" i="4"/>
  <c r="E86" i="4"/>
  <c r="E39" i="4"/>
  <c r="E60" i="4"/>
  <c r="E92" i="4"/>
  <c r="E120" i="4"/>
  <c r="E88" i="4"/>
  <c r="E21" i="4"/>
  <c r="E71" i="4"/>
  <c r="E139" i="4"/>
  <c r="E48" i="4"/>
  <c r="E33" i="4"/>
  <c r="E49" i="4"/>
  <c r="E65" i="4"/>
  <c r="E81" i="4"/>
  <c r="E97" i="4"/>
  <c r="E113" i="4"/>
  <c r="E129" i="4"/>
  <c r="E26" i="4"/>
  <c r="E42" i="4"/>
  <c r="E58" i="4"/>
  <c r="E74" i="4"/>
  <c r="E90" i="4"/>
  <c r="E106" i="4"/>
  <c r="E36" i="4"/>
  <c r="E68" i="4"/>
  <c r="E100" i="4"/>
  <c r="E126" i="4"/>
  <c r="E56" i="4"/>
  <c r="E99" i="4"/>
  <c r="E132" i="4"/>
  <c r="E134" i="4"/>
  <c r="E103" i="4"/>
  <c r="E59" i="4"/>
  <c r="E37" i="4"/>
  <c r="E53" i="4"/>
  <c r="E69" i="4"/>
  <c r="E85" i="4"/>
  <c r="E101" i="4"/>
  <c r="E117" i="4"/>
  <c r="E133" i="4"/>
  <c r="E30" i="4"/>
  <c r="E46" i="4"/>
  <c r="E62" i="4"/>
  <c r="E78" i="4"/>
  <c r="E94" i="4"/>
  <c r="E110" i="4"/>
  <c r="E23" i="4"/>
  <c r="E44" i="4"/>
  <c r="E76" i="4"/>
  <c r="E108" i="4"/>
  <c r="E131" i="4"/>
  <c r="E111" i="4"/>
  <c r="E127" i="4"/>
  <c r="F21" i="4" l="1"/>
  <c r="G21" i="4" s="1"/>
  <c r="B22" i="4" s="1"/>
  <c r="D22" i="4" s="1"/>
  <c r="F22" i="4" l="1"/>
  <c r="G22" i="4" s="1"/>
  <c r="B23" i="4" s="1"/>
  <c r="D23" i="4" s="1"/>
  <c r="F23" i="4" s="1"/>
  <c r="G23" i="4" s="1"/>
  <c r="B24" i="4" s="1"/>
  <c r="D24" i="4" s="1"/>
  <c r="F24" i="4" l="1"/>
  <c r="G24" i="4" s="1"/>
  <c r="B25" i="4" s="1"/>
  <c r="D25" i="4" l="1"/>
  <c r="F25" i="4" l="1"/>
  <c r="G25" i="4" l="1"/>
  <c r="B26" i="4" s="1"/>
  <c r="D26" i="4" s="1"/>
  <c r="F26" i="4" l="1"/>
  <c r="G26" i="4" l="1"/>
  <c r="B27" i="4" s="1"/>
  <c r="D27" i="4" s="1"/>
  <c r="F27" i="4" l="1"/>
  <c r="G27" i="4" l="1"/>
  <c r="B28" i="4" s="1"/>
  <c r="D28" i="4" s="1"/>
  <c r="F28" i="4" l="1"/>
  <c r="G28" i="4" s="1"/>
  <c r="B29" i="4" l="1"/>
  <c r="D29" i="4" s="1"/>
  <c r="F29" i="4" l="1"/>
  <c r="G29" i="4" s="1"/>
  <c r="B30" i="4" s="1"/>
  <c r="D30" i="4" s="1"/>
  <c r="F30" i="4" l="1"/>
  <c r="G30" i="4" s="1"/>
  <c r="B31" i="4" s="1"/>
  <c r="D31" i="4" s="1"/>
  <c r="F31" i="4" l="1"/>
  <c r="G31" i="4" s="1"/>
  <c r="B32" i="4" s="1"/>
  <c r="D32" i="4" s="1"/>
  <c r="F32" i="4" l="1"/>
  <c r="G32" i="4" s="1"/>
  <c r="B33" i="4" s="1"/>
  <c r="D33" i="4" s="1"/>
  <c r="F33" i="4" l="1"/>
  <c r="G33" i="4" s="1"/>
  <c r="B34" i="4" s="1"/>
  <c r="D34" i="4" s="1"/>
  <c r="F34" i="4" l="1"/>
  <c r="G34" i="4" s="1"/>
  <c r="B35" i="4" s="1"/>
  <c r="D35" i="4" s="1"/>
  <c r="F35" i="4" l="1"/>
  <c r="G35" i="4" l="1"/>
  <c r="B36" i="4" s="1"/>
  <c r="D36" i="4" s="1"/>
  <c r="F36" i="4" l="1"/>
  <c r="G36" i="4" s="1"/>
  <c r="B37" i="4" s="1"/>
  <c r="D37" i="4" s="1"/>
  <c r="F37" i="4" l="1"/>
  <c r="G37" i="4" s="1"/>
  <c r="B38" i="4" s="1"/>
  <c r="D38" i="4" s="1"/>
  <c r="F38" i="4" l="1"/>
  <c r="G38" i="4" s="1"/>
  <c r="B39" i="4" s="1"/>
  <c r="D39" i="4" s="1"/>
  <c r="F39" i="4" l="1"/>
  <c r="G39" i="4" s="1"/>
  <c r="B40" i="4" s="1"/>
  <c r="D40" i="4" s="1"/>
  <c r="F40" i="4" l="1"/>
  <c r="G40" i="4" s="1"/>
  <c r="B41" i="4" s="1"/>
  <c r="D41" i="4" s="1"/>
  <c r="F41" i="4" l="1"/>
  <c r="G41" i="4" s="1"/>
  <c r="B42" i="4" s="1"/>
  <c r="D42" i="4" s="1"/>
  <c r="F42" i="4" l="1"/>
  <c r="G42" i="4" s="1"/>
  <c r="B43" i="4" s="1"/>
  <c r="D43" i="4" s="1"/>
  <c r="F43" i="4" l="1"/>
  <c r="G43" i="4" s="1"/>
  <c r="B44" i="4" s="1"/>
  <c r="D44" i="4" s="1"/>
  <c r="F44" i="4" l="1"/>
  <c r="G44" i="4" s="1"/>
  <c r="B45" i="4" s="1"/>
  <c r="D45" i="4" s="1"/>
  <c r="F45" i="4" l="1"/>
  <c r="G45" i="4" s="1"/>
  <c r="B46" i="4" s="1"/>
  <c r="D46" i="4" s="1"/>
  <c r="F46" i="4" l="1"/>
  <c r="G46" i="4" s="1"/>
  <c r="B47" i="4" s="1"/>
  <c r="D47" i="4" s="1"/>
  <c r="F47" i="4" l="1"/>
  <c r="G47" i="4" s="1"/>
  <c r="B48" i="4" s="1"/>
  <c r="D48" i="4" s="1"/>
  <c r="F48" i="4" l="1"/>
  <c r="G48" i="4" s="1"/>
  <c r="B49" i="4" s="1"/>
  <c r="D49" i="4" s="1"/>
  <c r="F49" i="4" l="1"/>
  <c r="G49" i="4" s="1"/>
  <c r="B50" i="4" s="1"/>
  <c r="D50" i="4" s="1"/>
  <c r="F50" i="4" l="1"/>
  <c r="G50" i="4" s="1"/>
  <c r="B51" i="4" s="1"/>
  <c r="D51" i="4" s="1"/>
  <c r="F51" i="4" l="1"/>
  <c r="G51" i="4" s="1"/>
  <c r="B52" i="4" s="1"/>
  <c r="D52" i="4" s="1"/>
  <c r="F52" i="4" l="1"/>
  <c r="G52" i="4" s="1"/>
  <c r="B53" i="4" s="1"/>
  <c r="D53" i="4" s="1"/>
  <c r="F53" i="4" l="1"/>
  <c r="G53" i="4" s="1"/>
  <c r="B54" i="4" s="1"/>
  <c r="D54" i="4" s="1"/>
  <c r="F54" i="4" l="1"/>
  <c r="G54" i="4" l="1"/>
  <c r="B55" i="4" s="1"/>
  <c r="D55" i="4" s="1"/>
  <c r="F55" i="4" l="1"/>
  <c r="G55" i="4" s="1"/>
  <c r="B56" i="4" s="1"/>
  <c r="D56" i="4" s="1"/>
  <c r="F56" i="4" l="1"/>
  <c r="G56" i="4" s="1"/>
  <c r="B57" i="4" s="1"/>
  <c r="D57" i="4" s="1"/>
  <c r="F57" i="4" l="1"/>
  <c r="G57" i="4" s="1"/>
  <c r="B58" i="4" s="1"/>
  <c r="D58" i="4" s="1"/>
  <c r="F58" i="4" l="1"/>
  <c r="G58" i="4" s="1"/>
  <c r="B59" i="4" l="1"/>
  <c r="D59" i="4" s="1"/>
  <c r="F59" i="4" l="1"/>
  <c r="G59" i="4" l="1"/>
  <c r="B60" i="4" s="1"/>
  <c r="D60" i="4" s="1"/>
  <c r="F60" i="4" l="1"/>
  <c r="G60" i="4" s="1"/>
  <c r="B61" i="4" s="1"/>
  <c r="D61" i="4" s="1"/>
  <c r="F61" i="4" l="1"/>
  <c r="G61" i="4" s="1"/>
  <c r="B62" i="4" s="1"/>
  <c r="D62" i="4" s="1"/>
  <c r="F62" i="4" l="1"/>
  <c r="G62" i="4" s="1"/>
  <c r="B63" i="4" s="1"/>
  <c r="D63" i="4" s="1"/>
  <c r="F63" i="4" l="1"/>
  <c r="G63" i="4" s="1"/>
  <c r="B64" i="4" s="1"/>
  <c r="D64" i="4" s="1"/>
  <c r="F64" i="4" l="1"/>
  <c r="G64" i="4" s="1"/>
  <c r="B65" i="4" s="1"/>
  <c r="D65" i="4" s="1"/>
  <c r="F65" i="4" l="1"/>
  <c r="G65" i="4" l="1"/>
  <c r="B66" i="4" s="1"/>
  <c r="D66" i="4" s="1"/>
  <c r="F66" i="4" l="1"/>
  <c r="G66" i="4" s="1"/>
  <c r="B67" i="4" s="1"/>
  <c r="D67" i="4" s="1"/>
  <c r="F67" i="4" l="1"/>
  <c r="G67" i="4" s="1"/>
  <c r="B68" i="4" l="1"/>
  <c r="D68" i="4" s="1"/>
  <c r="F68" i="4" l="1"/>
  <c r="G68" i="4" s="1"/>
  <c r="B69" i="4" s="1"/>
  <c r="D69" i="4" s="1"/>
  <c r="F69" i="4" l="1"/>
  <c r="G69" i="4" s="1"/>
  <c r="B70" i="4" s="1"/>
  <c r="D70" i="4" s="1"/>
  <c r="F70" i="4" l="1"/>
  <c r="G70" i="4" s="1"/>
  <c r="B71" i="4" s="1"/>
  <c r="D71" i="4" s="1"/>
  <c r="F71" i="4" l="1"/>
  <c r="G71" i="4" s="1"/>
  <c r="B72" i="4" s="1"/>
  <c r="D72" i="4" s="1"/>
  <c r="F72" i="4" l="1"/>
  <c r="G72" i="4" s="1"/>
  <c r="B73" i="4" s="1"/>
  <c r="D73" i="4" s="1"/>
  <c r="F73" i="4" l="1"/>
  <c r="G73" i="4" s="1"/>
  <c r="B74" i="4" s="1"/>
  <c r="D74" i="4" s="1"/>
  <c r="F74" i="4" l="1"/>
  <c r="G74" i="4" s="1"/>
  <c r="B75" i="4" s="1"/>
  <c r="D75" i="4" s="1"/>
  <c r="F75" i="4" l="1"/>
  <c r="G75" i="4" s="1"/>
  <c r="B76" i="4" l="1"/>
  <c r="D76" i="4" s="1"/>
  <c r="F76" i="4" l="1"/>
  <c r="G76" i="4" s="1"/>
  <c r="B77" i="4" s="1"/>
  <c r="D77" i="4" s="1"/>
  <c r="F77" i="4" l="1"/>
  <c r="G77" i="4" s="1"/>
  <c r="B78" i="4" s="1"/>
  <c r="D78" i="4" s="1"/>
  <c r="F78" i="4" l="1"/>
  <c r="G78" i="4" s="1"/>
  <c r="B79" i="4" s="1"/>
  <c r="D79" i="4" s="1"/>
  <c r="F79" i="4" l="1"/>
  <c r="G79" i="4" l="1"/>
  <c r="B80" i="4" s="1"/>
  <c r="D80" i="4" s="1"/>
  <c r="F80" i="4" l="1"/>
  <c r="G80" i="4" s="1"/>
  <c r="B81" i="4" s="1"/>
  <c r="D81" i="4" s="1"/>
  <c r="F81" i="4" l="1"/>
  <c r="G81" i="4" l="1"/>
  <c r="B82" i="4" s="1"/>
  <c r="D82" i="4" s="1"/>
  <c r="F82" i="4" l="1"/>
  <c r="G82" i="4" s="1"/>
  <c r="B83" i="4" l="1"/>
  <c r="D83" i="4" s="1"/>
  <c r="F83" i="4" l="1"/>
  <c r="G83" i="4" s="1"/>
  <c r="B84" i="4" s="1"/>
  <c r="D84" i="4" s="1"/>
  <c r="F84" i="4" l="1"/>
  <c r="G84" i="4" s="1"/>
  <c r="B85" i="4" s="1"/>
  <c r="D85" i="4" s="1"/>
  <c r="F85" i="4" l="1"/>
  <c r="G85" i="4" s="1"/>
  <c r="B86" i="4" s="1"/>
  <c r="D86" i="4" s="1"/>
  <c r="F86" i="4" l="1"/>
  <c r="G86" i="4" s="1"/>
  <c r="B87" i="4" s="1"/>
  <c r="D87" i="4" s="1"/>
  <c r="F87" i="4" l="1"/>
  <c r="G87" i="4" l="1"/>
  <c r="B88" i="4" s="1"/>
  <c r="D88" i="4" s="1"/>
  <c r="F88" i="4" l="1"/>
  <c r="G88" i="4" s="1"/>
  <c r="B89" i="4" s="1"/>
  <c r="D89" i="4" s="1"/>
  <c r="F89" i="4" l="1"/>
  <c r="G89" i="4" s="1"/>
  <c r="B90" i="4" l="1"/>
  <c r="D90" i="4" s="1"/>
  <c r="F90" i="4" l="1"/>
  <c r="G90" i="4" s="1"/>
  <c r="B91" i="4" s="1"/>
  <c r="D91" i="4" s="1"/>
  <c r="F91" i="4" l="1"/>
  <c r="G91" i="4" s="1"/>
  <c r="B92" i="4" s="1"/>
  <c r="D92" i="4" s="1"/>
  <c r="F92" i="4" l="1"/>
  <c r="G92" i="4" s="1"/>
  <c r="B93" i="4" s="1"/>
  <c r="D93" i="4" s="1"/>
  <c r="F93" i="4" l="1"/>
  <c r="G93" i="4" l="1"/>
  <c r="B94" i="4" s="1"/>
  <c r="D94" i="4" s="1"/>
  <c r="F94" i="4" l="1"/>
  <c r="G94" i="4" s="1"/>
  <c r="B95" i="4" s="1"/>
  <c r="D95" i="4" s="1"/>
  <c r="F95" i="4" l="1"/>
  <c r="G95" i="4" s="1"/>
  <c r="B96" i="4" s="1"/>
  <c r="D96" i="4" s="1"/>
  <c r="F96" i="4" l="1"/>
  <c r="G96" i="4" l="1"/>
  <c r="B97" i="4" s="1"/>
  <c r="D97" i="4" s="1"/>
  <c r="F97" i="4" l="1"/>
  <c r="G97" i="4" s="1"/>
  <c r="B98" i="4" s="1"/>
  <c r="D98" i="4" s="1"/>
  <c r="F98" i="4" l="1"/>
  <c r="G98" i="4" s="1"/>
  <c r="B99" i="4" s="1"/>
  <c r="D99" i="4" s="1"/>
  <c r="F99" i="4" l="1"/>
  <c r="G99" i="4" l="1"/>
  <c r="B100" i="4" s="1"/>
  <c r="D100" i="4" s="1"/>
  <c r="F100" i="4" l="1"/>
  <c r="G100" i="4" s="1"/>
  <c r="B101" i="4" l="1"/>
  <c r="D101" i="4" s="1"/>
  <c r="F101" i="4" l="1"/>
  <c r="G101" i="4" s="1"/>
  <c r="B102" i="4" l="1"/>
  <c r="D102" i="4" s="1"/>
  <c r="F102" i="4" l="1"/>
  <c r="G102" i="4" s="1"/>
  <c r="B103" i="4" s="1"/>
  <c r="D103" i="4" s="1"/>
  <c r="F103" i="4" l="1"/>
  <c r="G103" i="4" l="1"/>
  <c r="B104" i="4" s="1"/>
  <c r="D104" i="4" s="1"/>
  <c r="F104" i="4" l="1"/>
  <c r="G104" i="4" s="1"/>
  <c r="B105" i="4" s="1"/>
  <c r="D105" i="4" s="1"/>
  <c r="F105" i="4" l="1"/>
  <c r="G105" i="4" s="1"/>
  <c r="B106" i="4" s="1"/>
  <c r="D106" i="4" s="1"/>
  <c r="F106" i="4" l="1"/>
  <c r="G106" i="4" l="1"/>
  <c r="B107" i="4" s="1"/>
  <c r="D107" i="4" s="1"/>
  <c r="F107" i="4" l="1"/>
  <c r="G107" i="4" s="1"/>
  <c r="B108" i="4" s="1"/>
  <c r="D108" i="4" s="1"/>
  <c r="F108" i="4" l="1"/>
  <c r="G108" i="4" s="1"/>
  <c r="B109" i="4" s="1"/>
  <c r="D109" i="4" s="1"/>
  <c r="F109" i="4" l="1"/>
  <c r="G109" i="4" l="1"/>
  <c r="B110" i="4" s="1"/>
  <c r="D110" i="4" s="1"/>
  <c r="F110" i="4" l="1"/>
  <c r="G110" i="4" s="1"/>
  <c r="B111" i="4" l="1"/>
  <c r="D111" i="4" s="1"/>
  <c r="F111" i="4" l="1"/>
  <c r="G111" i="4" s="1"/>
  <c r="B112" i="4" s="1"/>
  <c r="D112" i="4" s="1"/>
  <c r="F112" i="4" l="1"/>
  <c r="G112" i="4" s="1"/>
  <c r="B113" i="4" l="1"/>
  <c r="D113" i="4" s="1"/>
  <c r="F113" i="4" l="1"/>
  <c r="G113" i="4" s="1"/>
  <c r="B114" i="4" s="1"/>
  <c r="D114" i="4" s="1"/>
  <c r="F114" i="4" l="1"/>
  <c r="G114" i="4" s="1"/>
  <c r="B115" i="4" s="1"/>
  <c r="D115" i="4" s="1"/>
  <c r="F115" i="4" l="1"/>
  <c r="G115" i="4" s="1"/>
  <c r="B116" i="4" s="1"/>
  <c r="D116" i="4" s="1"/>
  <c r="F116" i="4" l="1"/>
  <c r="G116" i="4" s="1"/>
  <c r="B117" i="4" s="1"/>
  <c r="D117" i="4" s="1"/>
  <c r="F117" i="4" l="1"/>
  <c r="G117" i="4" s="1"/>
  <c r="B118" i="4" s="1"/>
  <c r="D118" i="4" s="1"/>
  <c r="F118" i="4" l="1"/>
  <c r="G118" i="4" s="1"/>
  <c r="B119" i="4" s="1"/>
  <c r="D119" i="4" s="1"/>
  <c r="F119" i="4" l="1"/>
  <c r="G119" i="4" s="1"/>
  <c r="B120" i="4" s="1"/>
  <c r="D120" i="4" s="1"/>
  <c r="F120" i="4" l="1"/>
  <c r="G120" i="4" s="1"/>
  <c r="B121" i="4" s="1"/>
  <c r="D121" i="4" s="1"/>
  <c r="F121" i="4" l="1"/>
  <c r="G121" i="4" s="1"/>
  <c r="B122" i="4" s="1"/>
  <c r="D122" i="4" s="1"/>
  <c r="F122" i="4" l="1"/>
  <c r="G122" i="4" s="1"/>
  <c r="B123" i="4" l="1"/>
  <c r="D123" i="4" s="1"/>
  <c r="F123" i="4" l="1"/>
  <c r="G123" i="4" s="1"/>
  <c r="B124" i="4" s="1"/>
  <c r="D124" i="4" s="1"/>
  <c r="F124" i="4" l="1"/>
  <c r="G124" i="4" s="1"/>
  <c r="B125" i="4" s="1"/>
  <c r="D125" i="4" s="1"/>
  <c r="F125" i="4" l="1"/>
  <c r="G125" i="4" s="1"/>
  <c r="B126" i="4" s="1"/>
  <c r="D126" i="4" s="1"/>
  <c r="F126" i="4" l="1"/>
  <c r="G126" i="4" s="1"/>
  <c r="B127" i="4" s="1"/>
  <c r="D127" i="4" s="1"/>
  <c r="F127" i="4" l="1"/>
  <c r="G127" i="4" s="1"/>
  <c r="B128" i="4" s="1"/>
  <c r="D128" i="4" s="1"/>
  <c r="F128" i="4" l="1"/>
  <c r="G128" i="4" s="1"/>
  <c r="B129" i="4" s="1"/>
  <c r="D129" i="4" s="1"/>
  <c r="F129" i="4" l="1"/>
  <c r="G129" i="4" s="1"/>
  <c r="B130" i="4" s="1"/>
  <c r="D130" i="4" s="1"/>
  <c r="F130" i="4" l="1"/>
  <c r="G130" i="4" s="1"/>
  <c r="B131" i="4" s="1"/>
  <c r="D131" i="4" s="1"/>
  <c r="F131" i="4" l="1"/>
  <c r="G131" i="4" s="1"/>
  <c r="B132" i="4" s="1"/>
  <c r="D132" i="4" s="1"/>
  <c r="F132" i="4" l="1"/>
  <c r="G132" i="4" s="1"/>
  <c r="B133" i="4" s="1"/>
  <c r="D133" i="4" s="1"/>
  <c r="F133" i="4" l="1"/>
  <c r="G133" i="4" l="1"/>
  <c r="B134" i="4" s="1"/>
  <c r="D134" i="4" s="1"/>
  <c r="F134" i="4" l="1"/>
  <c r="G134" i="4" s="1"/>
  <c r="B135" i="4" s="1"/>
  <c r="D135" i="4" s="1"/>
  <c r="F135" i="4" l="1"/>
  <c r="G135" i="4" s="1"/>
  <c r="B136" i="4" s="1"/>
  <c r="D136" i="4" s="1"/>
  <c r="F136" i="4" l="1"/>
  <c r="G136" i="4" l="1"/>
  <c r="B137" i="4" s="1"/>
  <c r="D137" i="4" s="1"/>
  <c r="F137" i="4" l="1"/>
  <c r="G137" i="4" s="1"/>
  <c r="B138" i="4" s="1"/>
  <c r="D138" i="4" s="1"/>
  <c r="F138" i="4" l="1"/>
  <c r="G138" i="4" l="1"/>
  <c r="B139" i="4" s="1"/>
  <c r="D139" i="4" s="1"/>
  <c r="F139" i="4" s="1"/>
  <c r="G139" i="4" s="1"/>
  <c r="B140" i="4" s="1"/>
  <c r="D140" i="4" s="1"/>
  <c r="F140" i="4" l="1"/>
  <c r="G140" i="4"/>
  <c r="B141" i="4" s="1"/>
  <c r="D141" i="4" s="1"/>
  <c r="F141" i="4" s="1"/>
  <c r="G141" i="4" s="1"/>
  <c r="B142" i="4" s="1"/>
  <c r="D142" i="4" s="1"/>
  <c r="F142" i="4" s="1"/>
  <c r="G142" i="4" s="1"/>
  <c r="B143" i="4" s="1"/>
  <c r="D143" i="4" s="1"/>
  <c r="F143" i="4" s="1"/>
  <c r="G143" i="4" s="1"/>
  <c r="B144" i="4" s="1"/>
  <c r="D144" i="4" s="1"/>
  <c r="F144" i="4" l="1"/>
  <c r="G144" i="4" s="1"/>
  <c r="B145" i="4" s="1"/>
  <c r="D145" i="4" s="1"/>
  <c r="F145" i="4" l="1"/>
  <c r="G145" i="4" s="1"/>
  <c r="B146" i="4" s="1"/>
  <c r="D146" i="4" s="1"/>
  <c r="F146" i="4" l="1"/>
  <c r="G146" i="4" s="1"/>
  <c r="B147" i="4" s="1"/>
  <c r="D147" i="4" s="1"/>
  <c r="F147" i="4" l="1"/>
  <c r="G147" i="4" s="1"/>
  <c r="B148" i="4" s="1"/>
  <c r="D148" i="4" s="1"/>
  <c r="F148" i="4" l="1"/>
  <c r="G148" i="4" s="1"/>
  <c r="B149" i="4" s="1"/>
  <c r="D149" i="4" s="1"/>
  <c r="F149" i="4" l="1"/>
  <c r="G149" i="4" s="1"/>
  <c r="B150" i="4" s="1"/>
  <c r="D150" i="4" s="1"/>
  <c r="F150" i="4" l="1"/>
  <c r="G150" i="4" s="1"/>
  <c r="B151" i="4" s="1"/>
  <c r="D151" i="4" s="1"/>
  <c r="F151" i="4" l="1"/>
  <c r="G151" i="4" s="1"/>
  <c r="B152" i="4" s="1"/>
  <c r="D152" i="4" s="1"/>
  <c r="F152" i="4" l="1"/>
  <c r="G152" i="4" s="1"/>
  <c r="B153" i="4" s="1"/>
  <c r="D153" i="4" s="1"/>
  <c r="F153" i="4" s="1"/>
  <c r="G153" i="4" s="1"/>
  <c r="B154" i="4" s="1"/>
  <c r="D154" i="4" s="1"/>
  <c r="F154" i="4" s="1"/>
  <c r="G154" i="4" s="1"/>
  <c r="B155" i="4" s="1"/>
  <c r="D155" i="4" s="1"/>
  <c r="F155" i="4" l="1"/>
  <c r="G155" i="4" s="1"/>
  <c r="B156" i="4" s="1"/>
  <c r="D156" i="4" s="1"/>
  <c r="F156" i="4" l="1"/>
  <c r="G156" i="4" s="1"/>
  <c r="B157" i="4" s="1"/>
  <c r="D157" i="4" s="1"/>
  <c r="F157" i="4" l="1"/>
  <c r="G157" i="4" s="1"/>
  <c r="B158" i="4" s="1"/>
  <c r="D158" i="4" s="1"/>
  <c r="F158" i="4" l="1"/>
  <c r="G158" i="4" s="1"/>
  <c r="B159" i="4" s="1"/>
  <c r="D159" i="4" s="1"/>
  <c r="F159" i="4" l="1"/>
  <c r="G159" i="4" s="1"/>
  <c r="B160" i="4" s="1"/>
  <c r="D160" i="4" s="1"/>
  <c r="F160" i="4" s="1"/>
  <c r="G160" i="4" s="1"/>
  <c r="B161" i="4" s="1"/>
  <c r="D161" i="4" s="1"/>
  <c r="F161" i="4" l="1"/>
  <c r="G161" i="4" s="1"/>
  <c r="B162" i="4" s="1"/>
  <c r="D162" i="4" s="1"/>
  <c r="F162" i="4" s="1"/>
  <c r="G162" i="4" s="1"/>
  <c r="B163" i="4" s="1"/>
  <c r="D163" i="4" s="1"/>
  <c r="F163" i="4" s="1"/>
  <c r="G163" i="4" s="1"/>
  <c r="B164" i="4" s="1"/>
  <c r="D164" i="4" s="1"/>
  <c r="F164" i="4" s="1"/>
  <c r="G164" i="4" s="1"/>
  <c r="B165" i="4" s="1"/>
  <c r="D165" i="4" s="1"/>
  <c r="F165" i="4" s="1"/>
  <c r="G165" i="4" s="1"/>
  <c r="B166" i="4" s="1"/>
  <c r="D166" i="4" s="1"/>
  <c r="F166" i="4" s="1"/>
  <c r="G166" i="4" s="1"/>
  <c r="B167" i="4" s="1"/>
  <c r="D167" i="4" s="1"/>
  <c r="F167" i="4" l="1"/>
  <c r="G167" i="4" s="1"/>
  <c r="B168" i="4" s="1"/>
  <c r="D168" i="4" s="1"/>
  <c r="F168" i="4" s="1"/>
  <c r="G168" i="4" s="1"/>
  <c r="B169" i="4" s="1"/>
  <c r="D169" i="4" s="1"/>
  <c r="F169" i="4" s="1"/>
  <c r="G169" i="4" s="1"/>
  <c r="B170" i="4" s="1"/>
  <c r="D170" i="4" s="1"/>
  <c r="F170" i="4" s="1"/>
  <c r="G170" i="4" s="1"/>
  <c r="B171" i="4" s="1"/>
  <c r="D171" i="4" s="1"/>
  <c r="F171" i="4" s="1"/>
  <c r="G171" i="4" s="1"/>
  <c r="B172" i="4" s="1"/>
  <c r="D172" i="4" s="1"/>
  <c r="F172" i="4" s="1"/>
  <c r="G172" i="4" s="1"/>
  <c r="B173" i="4" s="1"/>
  <c r="D173" i="4" s="1"/>
  <c r="F173" i="4" s="1"/>
  <c r="G173" i="4" s="1"/>
  <c r="B174" i="4" s="1"/>
  <c r="D174" i="4" s="1"/>
  <c r="F174" i="4" l="1"/>
  <c r="G174" i="4" s="1"/>
  <c r="B175" i="4" s="1"/>
  <c r="D175" i="4" s="1"/>
  <c r="F175" i="4" s="1"/>
  <c r="G175" i="4" s="1"/>
  <c r="B176" i="4" s="1"/>
  <c r="D176" i="4" s="1"/>
  <c r="F176" i="4" s="1"/>
  <c r="G176" i="4" s="1"/>
  <c r="B177" i="4" s="1"/>
  <c r="D177" i="4" s="1"/>
  <c r="F177" i="4" s="1"/>
  <c r="G177" i="4" s="1"/>
  <c r="B178" i="4" s="1"/>
  <c r="D178" i="4" s="1"/>
  <c r="F178" i="4" s="1"/>
  <c r="G178" i="4" s="1"/>
  <c r="B179" i="4" s="1"/>
  <c r="D179" i="4" s="1"/>
  <c r="F179" i="4" s="1"/>
  <c r="G179" i="4" s="1"/>
  <c r="B180" i="4" s="1"/>
  <c r="D180" i="4" s="1"/>
  <c r="F180" i="4" s="1"/>
  <c r="G180" i="4" s="1"/>
  <c r="B181" i="4" s="1"/>
  <c r="D181" i="4" s="1"/>
  <c r="F181" i="4" s="1"/>
  <c r="G181" i="4" s="1"/>
  <c r="B182" i="4" s="1"/>
  <c r="D182" i="4" s="1"/>
  <c r="F182" i="4" s="1"/>
  <c r="G182" i="4" s="1"/>
  <c r="B183" i="4" s="1"/>
  <c r="D183" i="4" s="1"/>
  <c r="F183" i="4" l="1"/>
  <c r="G183" i="4" s="1"/>
  <c r="B184" i="4" s="1"/>
  <c r="D184" i="4" s="1"/>
  <c r="F184" i="4" s="1"/>
  <c r="G184" i="4" s="1"/>
  <c r="B185" i="4" s="1"/>
  <c r="D185" i="4" s="1"/>
  <c r="F185" i="4" s="1"/>
  <c r="G185" i="4" s="1"/>
  <c r="B186" i="4" s="1"/>
  <c r="D186" i="4" s="1"/>
  <c r="F186" i="4" s="1"/>
  <c r="G186" i="4" s="1"/>
  <c r="B187" i="4" s="1"/>
  <c r="D187" i="4" s="1"/>
  <c r="F187" i="4" s="1"/>
  <c r="G187" i="4" s="1"/>
  <c r="B188" i="4" s="1"/>
  <c r="D188" i="4" s="1"/>
  <c r="F188" i="4" s="1"/>
  <c r="G188" i="4" s="1"/>
  <c r="B189" i="4" s="1"/>
  <c r="D189" i="4" s="1"/>
  <c r="F189" i="4" s="1"/>
  <c r="G189" i="4" s="1"/>
  <c r="B190" i="4" s="1"/>
  <c r="D190" i="4" s="1"/>
  <c r="F190" i="4" s="1"/>
  <c r="G190" i="4" s="1"/>
  <c r="B191" i="4" s="1"/>
  <c r="D191" i="4" s="1"/>
  <c r="F191" i="4" s="1"/>
  <c r="G191" i="4" s="1"/>
  <c r="B192" i="4" s="1"/>
  <c r="D192" i="4" s="1"/>
  <c r="F192" i="4" l="1"/>
  <c r="G192" i="4" s="1"/>
  <c r="B193" i="4" s="1"/>
  <c r="D193" i="4" s="1"/>
  <c r="F193" i="4" l="1"/>
  <c r="G193" i="4" s="1"/>
  <c r="B194" i="4" s="1"/>
  <c r="D194" i="4" s="1"/>
  <c r="F194" i="4" l="1"/>
  <c r="G194" i="4" s="1"/>
  <c r="B195" i="4" s="1"/>
  <c r="D195" i="4" s="1"/>
  <c r="F195" i="4" l="1"/>
  <c r="G195" i="4" s="1"/>
  <c r="B196" i="4" s="1"/>
  <c r="D196" i="4" s="1"/>
  <c r="F196" i="4" l="1"/>
  <c r="G196" i="4" s="1"/>
  <c r="B197" i="4" s="1"/>
  <c r="D197" i="4" s="1"/>
  <c r="F197" i="4" l="1"/>
  <c r="G197" i="4" s="1"/>
  <c r="B198" i="4" s="1"/>
  <c r="D198" i="4" s="1"/>
  <c r="F198" i="4" l="1"/>
  <c r="G198" i="4" s="1"/>
  <c r="B199" i="4" s="1"/>
  <c r="D199" i="4" s="1"/>
  <c r="F199" i="4" s="1"/>
  <c r="G199" i="4" s="1"/>
  <c r="B200" i="4" s="1"/>
  <c r="D200" i="4" s="1"/>
  <c r="F200" i="4" s="1"/>
  <c r="G200" i="4" s="1"/>
  <c r="B201" i="4" s="1"/>
  <c r="D201" i="4" s="1"/>
  <c r="F201" i="4" s="1"/>
  <c r="G201" i="4" s="1"/>
  <c r="B202" i="4" s="1"/>
  <c r="D202" i="4" s="1"/>
  <c r="F202" i="4" l="1"/>
  <c r="G202" i="4" s="1"/>
  <c r="B203" i="4" s="1"/>
  <c r="D203" i="4" s="1"/>
  <c r="F203" i="4" l="1"/>
  <c r="G203" i="4" s="1"/>
  <c r="B204" i="4" s="1"/>
  <c r="D204" i="4" s="1"/>
  <c r="F204" i="4" l="1"/>
  <c r="G204" i="4" s="1"/>
  <c r="B205" i="4" s="1"/>
  <c r="D205" i="4" s="1"/>
  <c r="F205" i="4" l="1"/>
  <c r="G205" i="4" s="1"/>
  <c r="B206" i="4" s="1"/>
  <c r="D206" i="4" s="1"/>
  <c r="F206" i="4" l="1"/>
  <c r="G206" i="4" s="1"/>
  <c r="B207" i="4" s="1"/>
  <c r="D207" i="4" s="1"/>
  <c r="F207" i="4" l="1"/>
  <c r="G207" i="4" s="1"/>
  <c r="B208" i="4" s="1"/>
  <c r="D208" i="4" s="1"/>
  <c r="F208" i="4" s="1"/>
  <c r="G208" i="4" s="1"/>
  <c r="B209" i="4" s="1"/>
  <c r="D209" i="4" s="1"/>
  <c r="F209" i="4" l="1"/>
  <c r="G209" i="4" s="1"/>
  <c r="B210" i="4" s="1"/>
  <c r="D210" i="4" s="1"/>
  <c r="F210" i="4" l="1"/>
  <c r="G210" i="4" s="1"/>
  <c r="B211" i="4" s="1"/>
  <c r="D211" i="4" s="1"/>
  <c r="F211" i="4" l="1"/>
  <c r="G211" i="4" s="1"/>
  <c r="B212" i="4" s="1"/>
  <c r="D212" i="4" s="1"/>
  <c r="F212" i="4" s="1"/>
  <c r="G212" i="4" s="1"/>
  <c r="B213" i="4" s="1"/>
  <c r="D213" i="4" s="1"/>
  <c r="F213" i="4" s="1"/>
  <c r="G213" i="4" s="1"/>
  <c r="B214" i="4" s="1"/>
  <c r="D214" i="4" s="1"/>
  <c r="F214" i="4" s="1"/>
  <c r="G214" i="4" s="1"/>
  <c r="B215" i="4" s="1"/>
  <c r="D215" i="4" s="1"/>
  <c r="F215" i="4" s="1"/>
  <c r="G215" i="4" s="1"/>
  <c r="B216" i="4" s="1"/>
  <c r="D216" i="4" s="1"/>
  <c r="F216" i="4" s="1"/>
  <c r="G216" i="4" s="1"/>
  <c r="B217" i="4" s="1"/>
  <c r="D217" i="4" s="1"/>
  <c r="F217" i="4" s="1"/>
  <c r="G217" i="4" s="1"/>
  <c r="B218" i="4" s="1"/>
  <c r="D218" i="4" s="1"/>
  <c r="F218" i="4" s="1"/>
  <c r="G218" i="4" s="1"/>
  <c r="B219" i="4" s="1"/>
  <c r="D219" i="4" s="1"/>
  <c r="F219" i="4" l="1"/>
  <c r="G219" i="4" s="1"/>
  <c r="B220" i="4" s="1"/>
  <c r="D220" i="4" s="1"/>
  <c r="F220" i="4" l="1"/>
  <c r="G220" i="4" s="1"/>
  <c r="B221" i="4" s="1"/>
  <c r="D221" i="4" s="1"/>
  <c r="F221" i="4" s="1"/>
  <c r="G221" i="4" s="1"/>
  <c r="B222" i="4" s="1"/>
  <c r="D222" i="4" s="1"/>
  <c r="F222" i="4" l="1"/>
  <c r="G222" i="4" s="1"/>
  <c r="B223" i="4" s="1"/>
  <c r="D223" i="4" s="1"/>
  <c r="F223" i="4" l="1"/>
  <c r="G223" i="4" s="1"/>
  <c r="B224" i="4" s="1"/>
  <c r="D224" i="4" s="1"/>
  <c r="F224" i="4" s="1"/>
  <c r="G224" i="4" s="1"/>
  <c r="B225" i="4" s="1"/>
  <c r="D225" i="4" s="1"/>
  <c r="F225" i="4" s="1"/>
  <c r="G225" i="4" s="1"/>
  <c r="B226" i="4" s="1"/>
  <c r="D226" i="4" s="1"/>
  <c r="F226" i="4" l="1"/>
  <c r="G226" i="4" s="1"/>
  <c r="B227" i="4" s="1"/>
  <c r="D227" i="4" s="1"/>
  <c r="F227" i="4" s="1"/>
  <c r="G227" i="4" s="1"/>
  <c r="B228" i="4" s="1"/>
  <c r="D228" i="4" s="1"/>
  <c r="F228" i="4" s="1"/>
  <c r="G228" i="4" s="1"/>
  <c r="B229" i="4" s="1"/>
  <c r="D229" i="4" s="1"/>
  <c r="F229" i="4" s="1"/>
  <c r="G229" i="4" s="1"/>
  <c r="B230" i="4" s="1"/>
  <c r="D230" i="4" s="1"/>
  <c r="F230" i="4" s="1"/>
  <c r="G230" i="4" s="1"/>
  <c r="B231" i="4" s="1"/>
  <c r="D231" i="4" s="1"/>
  <c r="F231" i="4" l="1"/>
  <c r="G231" i="4" s="1"/>
  <c r="B232" i="4" s="1"/>
  <c r="D232" i="4" s="1"/>
  <c r="F232" i="4" s="1"/>
  <c r="G232" i="4" s="1"/>
  <c r="B233" i="4" s="1"/>
  <c r="D233" i="4" s="1"/>
  <c r="F233" i="4" l="1"/>
  <c r="G233" i="4" s="1"/>
  <c r="B234" i="4" s="1"/>
  <c r="D234" i="4" s="1"/>
  <c r="F234" i="4" l="1"/>
  <c r="G234" i="4" s="1"/>
  <c r="B235" i="4" s="1"/>
  <c r="D235" i="4" s="1"/>
  <c r="F235" i="4" s="1"/>
  <c r="G235" i="4" s="1"/>
  <c r="B236" i="4" s="1"/>
  <c r="D236" i="4" s="1"/>
  <c r="F236" i="4" s="1"/>
  <c r="G236" i="4" s="1"/>
  <c r="B237" i="4" s="1"/>
  <c r="D237" i="4" s="1"/>
  <c r="F237" i="4" l="1"/>
  <c r="G237" i="4" s="1"/>
  <c r="B238" i="4" s="1"/>
  <c r="D238" i="4" s="1"/>
  <c r="F238" i="4" s="1"/>
  <c r="G238" i="4" s="1"/>
  <c r="B239" i="4" s="1"/>
  <c r="D239" i="4" s="1"/>
  <c r="F239" i="4" s="1"/>
  <c r="G239" i="4" s="1"/>
  <c r="B240" i="4" s="1"/>
  <c r="D240" i="4" s="1"/>
  <c r="F240" i="4" l="1"/>
  <c r="G240" i="4" s="1"/>
  <c r="B241" i="4" s="1"/>
  <c r="D241" i="4" s="1"/>
  <c r="F241" i="4" s="1"/>
  <c r="G241" i="4" s="1"/>
  <c r="B242" i="4" s="1"/>
  <c r="D242" i="4" s="1"/>
  <c r="F242" i="4" s="1"/>
  <c r="G242" i="4" s="1"/>
  <c r="B243" i="4" s="1"/>
  <c r="D243" i="4" s="1"/>
  <c r="F243" i="4" l="1"/>
  <c r="G243" i="4" s="1"/>
  <c r="B244" i="4" s="1"/>
  <c r="D244" i="4" s="1"/>
  <c r="F244" i="4" s="1"/>
  <c r="G244" i="4" s="1"/>
  <c r="B245" i="4" s="1"/>
  <c r="D245" i="4" s="1"/>
  <c r="F245" i="4" s="1"/>
  <c r="G245" i="4" s="1"/>
  <c r="B246" i="4" s="1"/>
  <c r="D246" i="4" s="1"/>
  <c r="F246" i="4" s="1"/>
  <c r="G246" i="4" s="1"/>
  <c r="B247" i="4" s="1"/>
  <c r="D247" i="4" s="1"/>
  <c r="F247" i="4" s="1"/>
  <c r="G247" i="4" s="1"/>
  <c r="B248" i="4" s="1"/>
  <c r="D248" i="4" s="1"/>
  <c r="F248" i="4" s="1"/>
  <c r="G248" i="4" s="1"/>
  <c r="B249" i="4" s="1"/>
  <c r="D249" i="4" s="1"/>
  <c r="F249" i="4" s="1"/>
  <c r="G249" i="4" s="1"/>
  <c r="B250" i="4" s="1"/>
  <c r="D250" i="4" s="1"/>
  <c r="F250" i="4" s="1"/>
  <c r="G250" i="4" s="1"/>
  <c r="B251" i="4" s="1"/>
  <c r="D251" i="4" s="1"/>
  <c r="F251" i="4" s="1"/>
  <c r="G251" i="4" s="1"/>
  <c r="B252" i="4" s="1"/>
  <c r="D252" i="4" s="1"/>
  <c r="F252" i="4" l="1"/>
  <c r="G252" i="4" s="1"/>
  <c r="B253" i="4" s="1"/>
  <c r="D253" i="4" s="1"/>
  <c r="F253" i="4" s="1"/>
  <c r="G253" i="4" s="1"/>
  <c r="B254" i="4" s="1"/>
  <c r="D254" i="4" s="1"/>
  <c r="F254" i="4" s="1"/>
  <c r="G254" i="4" s="1"/>
  <c r="B255" i="4" s="1"/>
  <c r="D255" i="4" s="1"/>
  <c r="F255" i="4" s="1"/>
  <c r="G255" i="4" s="1"/>
  <c r="B256" i="4" s="1"/>
  <c r="D256" i="4" s="1"/>
  <c r="F256" i="4" l="1"/>
  <c r="G256" i="4" s="1"/>
  <c r="B257" i="4" s="1"/>
  <c r="D257" i="4" s="1"/>
  <c r="F257" i="4" s="1"/>
  <c r="G257" i="4" s="1"/>
  <c r="B258" i="4" s="1"/>
  <c r="D258" i="4" s="1"/>
  <c r="F258" i="4" s="1"/>
  <c r="G258" i="4" s="1"/>
  <c r="B259" i="4" s="1"/>
  <c r="D259" i="4" s="1"/>
  <c r="F259" i="4" s="1"/>
  <c r="G259" i="4" s="1"/>
  <c r="B260" i="4" s="1"/>
  <c r="D260" i="4" s="1"/>
  <c r="F260" i="4" s="1"/>
  <c r="G260" i="4" s="1"/>
  <c r="B261" i="4" s="1"/>
  <c r="D261" i="4" s="1"/>
  <c r="F261" i="4" s="1"/>
  <c r="G261" i="4" s="1"/>
  <c r="B262" i="4" s="1"/>
  <c r="D262" i="4" s="1"/>
  <c r="F262" i="4" s="1"/>
  <c r="G262" i="4" s="1"/>
  <c r="B263" i="4" s="1"/>
  <c r="D263" i="4" s="1"/>
  <c r="F263" i="4" l="1"/>
  <c r="G263" i="4" s="1"/>
  <c r="B264" i="4" s="1"/>
  <c r="D264" i="4" s="1"/>
  <c r="F264" i="4" s="1"/>
  <c r="G264" i="4" s="1"/>
  <c r="B265" i="4" s="1"/>
  <c r="D265" i="4" s="1"/>
  <c r="F265" i="4" s="1"/>
  <c r="G265" i="4" s="1"/>
  <c r="B266" i="4" s="1"/>
  <c r="D266" i="4" s="1"/>
  <c r="F266" i="4" s="1"/>
  <c r="G266" i="4" s="1"/>
  <c r="B267" i="4" s="1"/>
  <c r="D267" i="4" s="1"/>
  <c r="F267" i="4" s="1"/>
  <c r="G267" i="4" s="1"/>
  <c r="B268" i="4" s="1"/>
  <c r="D268" i="4" s="1"/>
  <c r="F268" i="4" s="1"/>
  <c r="G268" i="4" s="1"/>
  <c r="B269" i="4" s="1"/>
  <c r="D269" i="4" s="1"/>
  <c r="F269" i="4" s="1"/>
  <c r="G269" i="4" s="1"/>
  <c r="B270" i="4" s="1"/>
  <c r="D270" i="4" s="1"/>
  <c r="F270" i="4" s="1"/>
  <c r="G270" i="4" s="1"/>
  <c r="B271" i="4" s="1"/>
  <c r="D271" i="4" s="1"/>
  <c r="F271" i="4" s="1"/>
  <c r="G271" i="4" s="1"/>
  <c r="B272" i="4" s="1"/>
  <c r="D272" i="4" s="1"/>
  <c r="F272" i="4" s="1"/>
  <c r="G272" i="4" s="1"/>
  <c r="B273" i="4" s="1"/>
  <c r="D273" i="4" s="1"/>
  <c r="F273" i="4" s="1"/>
  <c r="G273" i="4" s="1"/>
  <c r="B274" i="4" s="1"/>
  <c r="D274" i="4" s="1"/>
  <c r="F274" i="4" s="1"/>
  <c r="G274" i="4" s="1"/>
  <c r="B275" i="4" s="1"/>
  <c r="D275" i="4" s="1"/>
  <c r="F275" i="4" s="1"/>
  <c r="G275" i="4" s="1"/>
  <c r="B276" i="4" s="1"/>
  <c r="D276" i="4" s="1"/>
  <c r="F276" i="4" s="1"/>
  <c r="G276" i="4" s="1"/>
  <c r="B277" i="4" s="1"/>
  <c r="D277" i="4" s="1"/>
  <c r="F277" i="4" s="1"/>
  <c r="G277" i="4" s="1"/>
  <c r="B278" i="4" s="1"/>
  <c r="D278" i="4" s="1"/>
  <c r="F278" i="4" s="1"/>
  <c r="G278" i="4" s="1"/>
  <c r="B279" i="4" s="1"/>
  <c r="D279" i="4" s="1"/>
  <c r="F279" i="4" s="1"/>
  <c r="G279" i="4" s="1"/>
  <c r="B280" i="4" s="1"/>
  <c r="D280" i="4" s="1"/>
  <c r="F280" i="4" s="1"/>
  <c r="G280" i="4" s="1"/>
  <c r="B281" i="4" s="1"/>
  <c r="D281" i="4" s="1"/>
  <c r="F281" i="4" s="1"/>
  <c r="G281" i="4" s="1"/>
  <c r="B282" i="4" s="1"/>
  <c r="D282" i="4" s="1"/>
  <c r="F282" i="4" s="1"/>
  <c r="G282" i="4" s="1"/>
  <c r="B283" i="4" s="1"/>
  <c r="D283" i="4" s="1"/>
  <c r="F283" i="4" l="1"/>
  <c r="G283" i="4" s="1"/>
  <c r="B284" i="4" s="1"/>
  <c r="D284" i="4" s="1"/>
  <c r="F284" i="4" s="1"/>
  <c r="G284" i="4" s="1"/>
  <c r="B285" i="4" s="1"/>
  <c r="D285" i="4" s="1"/>
  <c r="F285" i="4" s="1"/>
  <c r="G285" i="4" s="1"/>
  <c r="B286" i="4" s="1"/>
  <c r="D286" i="4" s="1"/>
  <c r="F286" i="4" s="1"/>
  <c r="G286" i="4" s="1"/>
  <c r="B287" i="4" s="1"/>
  <c r="D287" i="4" s="1"/>
  <c r="F287" i="4" s="1"/>
  <c r="G287" i="4" s="1"/>
  <c r="B288" i="4" s="1"/>
  <c r="D288" i="4" s="1"/>
  <c r="F288" i="4" s="1"/>
  <c r="G288" i="4" s="1"/>
  <c r="B289" i="4" s="1"/>
  <c r="D289" i="4" s="1"/>
  <c r="F289" i="4" s="1"/>
  <c r="G289" i="4" s="1"/>
  <c r="B290" i="4" s="1"/>
  <c r="D290" i="4" s="1"/>
  <c r="F290" i="4" s="1"/>
  <c r="G290" i="4" s="1"/>
  <c r="B291" i="4" s="1"/>
  <c r="D291" i="4" s="1"/>
  <c r="F291" i="4" s="1"/>
  <c r="G291" i="4" s="1"/>
  <c r="B292" i="4" s="1"/>
  <c r="D292" i="4" s="1"/>
  <c r="F292" i="4" s="1"/>
  <c r="G292" i="4" s="1"/>
  <c r="B293" i="4" s="1"/>
  <c r="D293" i="4" s="1"/>
  <c r="F293" i="4" s="1"/>
  <c r="G293" i="4" s="1"/>
  <c r="B294" i="4" s="1"/>
  <c r="D294" i="4" s="1"/>
  <c r="F294" i="4" s="1"/>
  <c r="G294" i="4" s="1"/>
  <c r="B295" i="4" s="1"/>
  <c r="D295" i="4" s="1"/>
  <c r="F295" i="4" l="1"/>
  <c r="G295" i="4" s="1"/>
  <c r="B296" i="4" s="1"/>
  <c r="D296" i="4" s="1"/>
  <c r="F296" i="4" s="1"/>
  <c r="G296" i="4" s="1"/>
  <c r="B297" i="4" s="1"/>
  <c r="D297" i="4" s="1"/>
  <c r="F297" i="4" s="1"/>
  <c r="G297" i="4" s="1"/>
  <c r="B298" i="4" s="1"/>
  <c r="D298" i="4" s="1"/>
  <c r="F298" i="4" s="1"/>
  <c r="G298" i="4" s="1"/>
  <c r="B299" i="4" s="1"/>
  <c r="D299" i="4" s="1"/>
  <c r="F299" i="4" s="1"/>
  <c r="G299" i="4" s="1"/>
  <c r="B300" i="4" s="1"/>
  <c r="D300" i="4" s="1"/>
  <c r="F300" i="4" s="1"/>
  <c r="G300" i="4" s="1"/>
  <c r="B301" i="4" s="1"/>
  <c r="D301" i="4" s="1"/>
  <c r="F301" i="4" s="1"/>
  <c r="G301" i="4" s="1"/>
  <c r="B302" i="4" s="1"/>
  <c r="D302" i="4" s="1"/>
  <c r="F302" i="4" s="1"/>
  <c r="G302" i="4" s="1"/>
  <c r="B303" i="4" s="1"/>
  <c r="D303" i="4" s="1"/>
  <c r="F303" i="4" s="1"/>
  <c r="G303" i="4" s="1"/>
  <c r="B304" i="4" s="1"/>
  <c r="D304" i="4" s="1"/>
  <c r="F304" i="4" s="1"/>
  <c r="G304" i="4" s="1"/>
  <c r="B305" i="4" s="1"/>
  <c r="D305" i="4" s="1"/>
  <c r="F305" i="4" s="1"/>
  <c r="G305" i="4" s="1"/>
  <c r="B306" i="4" s="1"/>
  <c r="D306" i="4" s="1"/>
  <c r="F306" i="4" s="1"/>
  <c r="G306" i="4" s="1"/>
  <c r="B307" i="4" s="1"/>
  <c r="D307" i="4" s="1"/>
  <c r="F307" i="4" l="1"/>
  <c r="G307" i="4" s="1"/>
  <c r="B308" i="4" s="1"/>
  <c r="D308" i="4" s="1"/>
  <c r="F308" i="4" s="1"/>
  <c r="G308" i="4" s="1"/>
  <c r="B309" i="4" s="1"/>
  <c r="D309" i="4" s="1"/>
  <c r="F309" i="4" l="1"/>
  <c r="G309" i="4" s="1"/>
  <c r="B310" i="4" s="1"/>
  <c r="D310" i="4" s="1"/>
  <c r="F310" i="4" s="1"/>
  <c r="G310" i="4" s="1"/>
  <c r="B311" i="4" s="1"/>
  <c r="D311" i="4" s="1"/>
  <c r="F311" i="4" s="1"/>
  <c r="G311" i="4" s="1"/>
  <c r="B312" i="4" s="1"/>
  <c r="D312" i="4" s="1"/>
  <c r="F312" i="4" s="1"/>
  <c r="G312" i="4" s="1"/>
  <c r="B313" i="4" s="1"/>
  <c r="D313" i="4" s="1"/>
  <c r="F313" i="4" l="1"/>
  <c r="G313" i="4" s="1"/>
  <c r="B314" i="4" s="1"/>
  <c r="D314" i="4" s="1"/>
  <c r="F314" i="4" s="1"/>
  <c r="G314" i="4" s="1"/>
  <c r="B315" i="4" s="1"/>
  <c r="D315" i="4" s="1"/>
  <c r="F315" i="4" l="1"/>
  <c r="G315" i="4" s="1"/>
  <c r="B316" i="4" s="1"/>
  <c r="D316" i="4" s="1"/>
  <c r="F316" i="4" s="1"/>
  <c r="G316" i="4" s="1"/>
  <c r="B317" i="4" s="1"/>
  <c r="D317" i="4" s="1"/>
  <c r="F317" i="4" l="1"/>
  <c r="G317" i="4" s="1"/>
  <c r="B318" i="4" s="1"/>
  <c r="D318" i="4" s="1"/>
  <c r="F318" i="4" s="1"/>
  <c r="G318" i="4" s="1"/>
  <c r="B319" i="4" s="1"/>
  <c r="D319" i="4" s="1"/>
  <c r="F319" i="4" l="1"/>
  <c r="G319" i="4" s="1"/>
  <c r="B320" i="4" s="1"/>
  <c r="D320" i="4" s="1"/>
  <c r="F320" i="4" s="1"/>
  <c r="G320" i="4" s="1"/>
  <c r="B321" i="4" s="1"/>
  <c r="D321" i="4" s="1"/>
  <c r="F321" i="4" s="1"/>
  <c r="G321" i="4" s="1"/>
  <c r="B322" i="4" s="1"/>
  <c r="D322" i="4" s="1"/>
  <c r="F322" i="4" s="1"/>
  <c r="G322" i="4" s="1"/>
  <c r="B323" i="4" s="1"/>
  <c r="D323" i="4" s="1"/>
  <c r="F323" i="4" s="1"/>
  <c r="G323" i="4" s="1"/>
  <c r="B324" i="4" s="1"/>
  <c r="D324" i="4" s="1"/>
  <c r="F324" i="4" l="1"/>
  <c r="G324" i="4" s="1"/>
  <c r="B325" i="4" s="1"/>
  <c r="D325" i="4" s="1"/>
  <c r="F325" i="4" s="1"/>
  <c r="G325" i="4" s="1"/>
  <c r="B326" i="4" s="1"/>
  <c r="D326" i="4" s="1"/>
  <c r="F326" i="4" s="1"/>
  <c r="G326" i="4" s="1"/>
  <c r="B327" i="4" s="1"/>
  <c r="D327" i="4" s="1"/>
  <c r="F327" i="4" s="1"/>
  <c r="G327" i="4" s="1"/>
  <c r="B328" i="4" s="1"/>
  <c r="D328" i="4" s="1"/>
  <c r="F328" i="4" s="1"/>
  <c r="G328" i="4" s="1"/>
  <c r="B329" i="4" s="1"/>
  <c r="D329" i="4" s="1"/>
  <c r="F329" i="4" s="1"/>
  <c r="G329" i="4" s="1"/>
  <c r="B330" i="4" s="1"/>
  <c r="D330" i="4" s="1"/>
  <c r="F330" i="4" s="1"/>
  <c r="G330" i="4" s="1"/>
  <c r="B331" i="4" s="1"/>
  <c r="D331" i="4" s="1"/>
  <c r="F331" i="4" s="1"/>
  <c r="G331" i="4" s="1"/>
  <c r="B332" i="4" s="1"/>
  <c r="D332" i="4" s="1"/>
  <c r="F332" i="4" l="1"/>
  <c r="G332" i="4" s="1"/>
  <c r="B333" i="4" s="1"/>
  <c r="D333" i="4" s="1"/>
  <c r="F333" i="4" s="1"/>
  <c r="G333" i="4" s="1"/>
  <c r="B334" i="4" s="1"/>
  <c r="D334" i="4" s="1"/>
  <c r="F334" i="4" s="1"/>
  <c r="G334" i="4" s="1"/>
  <c r="B335" i="4" s="1"/>
  <c r="D335" i="4" s="1"/>
  <c r="F335" i="4" l="1"/>
  <c r="G335" i="4" s="1"/>
  <c r="B336" i="4" s="1"/>
  <c r="D336" i="4" s="1"/>
  <c r="F336" i="4" s="1"/>
  <c r="G336" i="4" s="1"/>
  <c r="B337" i="4" s="1"/>
  <c r="D337" i="4" s="1"/>
  <c r="F337" i="4" s="1"/>
  <c r="G337" i="4" s="1"/>
  <c r="B338" i="4" s="1"/>
  <c r="D338" i="4" s="1"/>
  <c r="F338" i="4" l="1"/>
  <c r="G338" i="4" s="1"/>
  <c r="B339" i="4" s="1"/>
  <c r="D339" i="4" s="1"/>
  <c r="F339" i="4" s="1"/>
  <c r="G339" i="4" s="1"/>
  <c r="B340" i="4" s="1"/>
  <c r="D340" i="4" s="1"/>
  <c r="F340" i="4" l="1"/>
  <c r="G340" i="4" s="1"/>
  <c r="B341" i="4" s="1"/>
  <c r="D341" i="4" s="1"/>
  <c r="F341" i="4" l="1"/>
  <c r="G341" i="4" s="1"/>
  <c r="B342" i="4" s="1"/>
  <c r="D342" i="4" s="1"/>
  <c r="F342" i="4" s="1"/>
  <c r="G342" i="4" s="1"/>
  <c r="B343" i="4" s="1"/>
  <c r="D343" i="4" s="1"/>
  <c r="F343" i="4" l="1"/>
  <c r="G343" i="4" s="1"/>
  <c r="B344" i="4" s="1"/>
  <c r="D344" i="4" s="1"/>
  <c r="F344" i="4" l="1"/>
  <c r="G344" i="4" s="1"/>
  <c r="B345" i="4" s="1"/>
  <c r="D345" i="4" s="1"/>
  <c r="F345" i="4" l="1"/>
  <c r="G345" i="4" s="1"/>
  <c r="B346" i="4" s="1"/>
  <c r="D346" i="4" s="1"/>
  <c r="F346" i="4" s="1"/>
  <c r="G346" i="4" s="1"/>
  <c r="B347" i="4" s="1"/>
  <c r="D347" i="4" s="1"/>
  <c r="F347" i="4" s="1"/>
  <c r="G347" i="4" s="1"/>
  <c r="B348" i="4" s="1"/>
  <c r="D348" i="4" s="1"/>
  <c r="F348" i="4" s="1"/>
  <c r="G348" i="4" s="1"/>
  <c r="B349" i="4" s="1"/>
  <c r="D349" i="4" s="1"/>
  <c r="F349" i="4" s="1"/>
  <c r="G349" i="4" s="1"/>
  <c r="B350" i="4" s="1"/>
  <c r="D350" i="4" s="1"/>
  <c r="F350" i="4" l="1"/>
  <c r="G350" i="4" s="1"/>
  <c r="B351" i="4" s="1"/>
  <c r="D351" i="4" s="1"/>
  <c r="F351" i="4" s="1"/>
  <c r="G351" i="4" s="1"/>
  <c r="B352" i="4" s="1"/>
  <c r="D352" i="4" s="1"/>
  <c r="F352" i="4" s="1"/>
  <c r="G352" i="4" s="1"/>
  <c r="B353" i="4" s="1"/>
  <c r="D353" i="4" s="1"/>
  <c r="F353" i="4" s="1"/>
  <c r="G353" i="4" s="1"/>
  <c r="B354" i="4" s="1"/>
  <c r="D354" i="4" s="1"/>
  <c r="F354" i="4" s="1"/>
  <c r="G354" i="4" s="1"/>
  <c r="B355" i="4" s="1"/>
  <c r="D355" i="4" s="1"/>
  <c r="F355" i="4" s="1"/>
  <c r="G355" i="4" s="1"/>
  <c r="B356" i="4" s="1"/>
  <c r="D356" i="4" s="1"/>
  <c r="F356" i="4" s="1"/>
  <c r="G356" i="4" s="1"/>
  <c r="B357" i="4" s="1"/>
  <c r="D357" i="4" s="1"/>
  <c r="F357" i="4" l="1"/>
  <c r="G357" i="4" s="1"/>
  <c r="B358" i="4" s="1"/>
  <c r="D358" i="4" s="1"/>
  <c r="F358" i="4" s="1"/>
  <c r="G358" i="4" s="1"/>
  <c r="B359" i="4" s="1"/>
  <c r="D359" i="4" s="1"/>
  <c r="F359" i="4" s="1"/>
  <c r="G359" i="4" s="1"/>
  <c r="B360" i="4" s="1"/>
  <c r="D360" i="4" s="1"/>
  <c r="F360" i="4" s="1"/>
  <c r="G360" i="4" s="1"/>
  <c r="B361" i="4" s="1"/>
  <c r="D361" i="4" s="1"/>
  <c r="F361" i="4" l="1"/>
  <c r="G361" i="4" s="1"/>
  <c r="B362" i="4" s="1"/>
  <c r="D362" i="4" s="1"/>
  <c r="F362" i="4" l="1"/>
  <c r="G362" i="4" s="1"/>
  <c r="B363" i="4" s="1"/>
  <c r="D363" i="4" s="1"/>
  <c r="F363" i="4" l="1"/>
  <c r="G363" i="4" s="1"/>
  <c r="B364" i="4" s="1"/>
  <c r="D364" i="4" s="1"/>
  <c r="F364" i="4" l="1"/>
  <c r="G364" i="4" s="1"/>
  <c r="B365" i="4" s="1"/>
  <c r="D365" i="4" s="1"/>
  <c r="F365" i="4" l="1"/>
  <c r="G365" i="4" s="1"/>
  <c r="B366" i="4" s="1"/>
  <c r="D366" i="4" s="1"/>
  <c r="F366" i="4" l="1"/>
  <c r="G366" i="4" s="1"/>
  <c r="B367" i="4" s="1"/>
  <c r="D367" i="4" s="1"/>
  <c r="F367" i="4" l="1"/>
  <c r="G367" i="4" s="1"/>
  <c r="B368" i="4" s="1"/>
  <c r="D368" i="4" s="1"/>
  <c r="F368" i="4" l="1"/>
  <c r="G368" i="4" s="1"/>
  <c r="B369" i="4" s="1"/>
  <c r="D369" i="4" s="1"/>
  <c r="F369" i="4" l="1"/>
  <c r="G369" i="4" s="1"/>
  <c r="B370" i="4" s="1"/>
  <c r="D370" i="4" s="1"/>
  <c r="F370" i="4" l="1"/>
  <c r="G370" i="4" s="1"/>
  <c r="B371" i="4" s="1"/>
  <c r="D371" i="4" s="1"/>
  <c r="F371" i="4" l="1"/>
  <c r="G371" i="4" s="1"/>
  <c r="B372" i="4" s="1"/>
  <c r="D372" i="4" s="1"/>
  <c r="F372" i="4" l="1"/>
  <c r="G372" i="4" s="1"/>
  <c r="B373" i="4" s="1"/>
  <c r="D373" i="4" s="1"/>
  <c r="F373" i="4" l="1"/>
  <c r="G373" i="4" s="1"/>
  <c r="B374" i="4" s="1"/>
  <c r="D374" i="4" s="1"/>
  <c r="F374" i="4" l="1"/>
  <c r="G374" i="4" s="1"/>
  <c r="B375" i="4" s="1"/>
  <c r="D375" i="4" s="1"/>
  <c r="F375" i="4" l="1"/>
  <c r="G375" i="4" s="1"/>
  <c r="B376" i="4" s="1"/>
  <c r="D376" i="4" s="1"/>
  <c r="F376" i="4" l="1"/>
  <c r="G376" i="4" s="1"/>
  <c r="B377" i="4" s="1"/>
  <c r="D377" i="4" s="1"/>
  <c r="F377" i="4" l="1"/>
  <c r="G377" i="4" s="1"/>
  <c r="B378" i="4" s="1"/>
  <c r="D378" i="4" s="1"/>
  <c r="F378" i="4" l="1"/>
  <c r="G378" i="4" s="1"/>
  <c r="B379" i="4" s="1"/>
  <c r="D379" i="4" s="1"/>
  <c r="F379" i="4" l="1"/>
  <c r="G379" i="4" s="1"/>
  <c r="B380" i="4" s="1"/>
  <c r="D380" i="4" s="1"/>
  <c r="F380" i="4" l="1"/>
  <c r="G380" i="4" s="1"/>
  <c r="B381" i="4" s="1"/>
  <c r="D381" i="4" s="1"/>
  <c r="G381" i="4" l="1"/>
  <c r="B382" i="4" s="1"/>
  <c r="D382" i="4" s="1"/>
  <c r="F381" i="4"/>
  <c r="F382" i="4" l="1"/>
  <c r="G382" i="4" s="1"/>
  <c r="B383" i="4" s="1"/>
  <c r="D383" i="4" s="1"/>
  <c r="F383" i="4" l="1"/>
  <c r="G383" i="4" s="1"/>
  <c r="B384" i="4" s="1"/>
  <c r="D384" i="4" s="1"/>
  <c r="F384" i="4" l="1"/>
  <c r="G384" i="4" s="1"/>
  <c r="B385" i="4" s="1"/>
  <c r="D385" i="4" s="1"/>
  <c r="F385" i="4" l="1"/>
  <c r="G385" i="4" s="1"/>
  <c r="B386" i="4" s="1"/>
  <c r="D386" i="4" s="1"/>
  <c r="F386" i="4" l="1"/>
  <c r="G386" i="4" s="1"/>
  <c r="B387" i="4" s="1"/>
  <c r="D387" i="4" s="1"/>
  <c r="F387" i="4" l="1"/>
  <c r="G387" i="4" s="1"/>
  <c r="B388" i="4" s="1"/>
  <c r="D388" i="4" s="1"/>
  <c r="F388" i="4" l="1"/>
  <c r="G388" i="4" s="1"/>
  <c r="B389" i="4" s="1"/>
  <c r="D389" i="4" s="1"/>
  <c r="F389" i="4" l="1"/>
  <c r="G389" i="4" s="1"/>
  <c r="B390" i="4" s="1"/>
  <c r="D390" i="4" s="1"/>
  <c r="F390" i="4" l="1"/>
  <c r="G390" i="4" s="1"/>
  <c r="B391" i="4" s="1"/>
  <c r="D391" i="4" s="1"/>
  <c r="F391" i="4" l="1"/>
  <c r="G391" i="4" s="1"/>
  <c r="B392" i="4" s="1"/>
  <c r="D392" i="4" s="1"/>
  <c r="F392" i="4" l="1"/>
  <c r="G392" i="4" s="1"/>
  <c r="B393" i="4" s="1"/>
  <c r="D393" i="4" s="1"/>
  <c r="F393" i="4" l="1"/>
  <c r="G393" i="4" s="1"/>
  <c r="B394" i="4" s="1"/>
  <c r="D394" i="4" s="1"/>
  <c r="F394" i="4" l="1"/>
  <c r="G394" i="4" s="1"/>
  <c r="B395" i="4" s="1"/>
  <c r="D395" i="4" s="1"/>
  <c r="F395" i="4" l="1"/>
  <c r="G395" i="4" s="1"/>
  <c r="B396" i="4" s="1"/>
  <c r="D396" i="4" s="1"/>
  <c r="F396" i="4" l="1"/>
  <c r="G396" i="4" s="1"/>
  <c r="B397" i="4" s="1"/>
  <c r="D397" i="4" s="1"/>
  <c r="F397" i="4" l="1"/>
  <c r="G397" i="4" s="1"/>
  <c r="B398" i="4" s="1"/>
  <c r="D398" i="4" s="1"/>
  <c r="G398" i="4" l="1"/>
  <c r="B399" i="4" s="1"/>
  <c r="D399" i="4" s="1"/>
  <c r="F398" i="4"/>
  <c r="G399" i="4" l="1"/>
  <c r="B400" i="4" s="1"/>
  <c r="D400" i="4" s="1"/>
  <c r="F399" i="4"/>
  <c r="F400" i="4" l="1"/>
  <c r="G400" i="4" s="1"/>
  <c r="B401" i="4" s="1"/>
  <c r="D401" i="4" s="1"/>
  <c r="G401" i="4" l="1"/>
  <c r="B402" i="4" s="1"/>
  <c r="D402" i="4" s="1"/>
  <c r="F401" i="4"/>
  <c r="G402" i="4" l="1"/>
  <c r="B403" i="4" s="1"/>
  <c r="D403" i="4" s="1"/>
  <c r="F402" i="4"/>
  <c r="F403" i="4" l="1"/>
  <c r="G403" i="4" s="1"/>
  <c r="B404" i="4" s="1"/>
  <c r="D404" i="4" s="1"/>
  <c r="G404" i="4" l="1"/>
  <c r="B405" i="4" s="1"/>
  <c r="D405" i="4" s="1"/>
  <c r="F404" i="4"/>
  <c r="F405" i="4" l="1"/>
  <c r="G405" i="4" s="1"/>
  <c r="B406" i="4" s="1"/>
  <c r="D406" i="4" s="1"/>
  <c r="F406" i="4" l="1"/>
  <c r="G406" i="4" s="1"/>
  <c r="B407" i="4" s="1"/>
  <c r="D407" i="4" s="1"/>
  <c r="F407" i="4" l="1"/>
  <c r="G407" i="4" s="1"/>
  <c r="B408" i="4" s="1"/>
  <c r="D408" i="4" s="1"/>
  <c r="F408" i="4" l="1"/>
  <c r="G408" i="4" s="1"/>
  <c r="B409" i="4" s="1"/>
  <c r="D409" i="4" s="1"/>
  <c r="F409" i="4" l="1"/>
  <c r="G409" i="4" s="1"/>
  <c r="B410" i="4" s="1"/>
  <c r="D410" i="4" s="1"/>
  <c r="F410" i="4" l="1"/>
  <c r="G410" i="4" s="1"/>
  <c r="B411" i="4" s="1"/>
  <c r="D411" i="4" s="1"/>
  <c r="F411" i="4" l="1"/>
  <c r="G411" i="4"/>
  <c r="B412" i="4" s="1"/>
  <c r="D412" i="4" s="1"/>
  <c r="F412" i="4" l="1"/>
  <c r="G412" i="4" s="1"/>
  <c r="B413" i="4" s="1"/>
  <c r="D413" i="4" s="1"/>
  <c r="F413" i="4" l="1"/>
  <c r="G413" i="4" s="1"/>
  <c r="B414" i="4" s="1"/>
  <c r="D414" i="4" s="1"/>
  <c r="G414" i="4" l="1"/>
  <c r="B415" i="4" s="1"/>
  <c r="D415" i="4" s="1"/>
  <c r="F414" i="4"/>
  <c r="G415" i="4" l="1"/>
  <c r="B416" i="4" s="1"/>
  <c r="D416" i="4" s="1"/>
  <c r="F415" i="4"/>
  <c r="F416" i="4" l="1"/>
  <c r="G416" i="4" s="1"/>
  <c r="B417" i="4" s="1"/>
  <c r="D417" i="4" s="1"/>
  <c r="F417" i="4" l="1"/>
  <c r="G417" i="4" s="1"/>
  <c r="B418" i="4" s="1"/>
  <c r="D418" i="4" s="1"/>
  <c r="F418" i="4" l="1"/>
  <c r="G418" i="4" s="1"/>
  <c r="B419" i="4" s="1"/>
  <c r="D419" i="4" s="1"/>
  <c r="F419" i="4" l="1"/>
  <c r="G419" i="4" s="1"/>
  <c r="B420" i="4" s="1"/>
  <c r="D420" i="4" s="1"/>
  <c r="F420" i="4" l="1"/>
  <c r="G420" i="4" s="1"/>
  <c r="B421" i="4" s="1"/>
  <c r="D421" i="4" s="1"/>
  <c r="F421" i="4" l="1"/>
  <c r="G421" i="4" s="1"/>
  <c r="B422" i="4" s="1"/>
  <c r="D422" i="4" s="1"/>
  <c r="F422" i="4" l="1"/>
  <c r="G422" i="4" s="1"/>
  <c r="B423" i="4" s="1"/>
  <c r="D423" i="4" s="1"/>
  <c r="F423" i="4" l="1"/>
  <c r="G423" i="4" s="1"/>
  <c r="B424" i="4" s="1"/>
  <c r="D424" i="4" s="1"/>
  <c r="F424" i="4" l="1"/>
  <c r="G424" i="4" s="1"/>
  <c r="B425" i="4" s="1"/>
  <c r="D425" i="4" s="1"/>
  <c r="F425" i="4" l="1"/>
  <c r="G425" i="4" s="1"/>
  <c r="B426" i="4" s="1"/>
  <c r="D426" i="4" s="1"/>
  <c r="F426" i="4" l="1"/>
  <c r="G426" i="4" s="1"/>
  <c r="B427" i="4" s="1"/>
  <c r="D427" i="4" s="1"/>
  <c r="G427" i="4" l="1"/>
  <c r="B428" i="4" s="1"/>
  <c r="D428" i="4" s="1"/>
  <c r="F427" i="4"/>
  <c r="F428" i="4" l="1"/>
  <c r="G428" i="4" s="1"/>
  <c r="B429" i="4" s="1"/>
  <c r="D429" i="4" s="1"/>
  <c r="F429" i="4" l="1"/>
  <c r="G429" i="4" s="1"/>
  <c r="B430" i="4" s="1"/>
  <c r="D430" i="4" s="1"/>
  <c r="F430" i="4" l="1"/>
  <c r="G430" i="4" s="1"/>
  <c r="B431" i="4" s="1"/>
  <c r="D431" i="4" s="1"/>
  <c r="F431" i="4" l="1"/>
  <c r="G431" i="4" s="1"/>
  <c r="B432" i="4" s="1"/>
  <c r="D432" i="4" s="1"/>
  <c r="F432" i="4" l="1"/>
  <c r="G432" i="4" s="1"/>
  <c r="B433" i="4" s="1"/>
  <c r="D433" i="4" s="1"/>
  <c r="F433" i="4" l="1"/>
  <c r="G433" i="4" s="1"/>
  <c r="B434" i="4" s="1"/>
  <c r="D434" i="4" s="1"/>
  <c r="F434" i="4" l="1"/>
  <c r="G434" i="4" s="1"/>
  <c r="B435" i="4" s="1"/>
  <c r="D435" i="4" s="1"/>
  <c r="G435" i="4" l="1"/>
  <c r="B436" i="4" s="1"/>
  <c r="D436" i="4" s="1"/>
  <c r="F435" i="4"/>
  <c r="F436" i="4" l="1"/>
  <c r="G436" i="4" s="1"/>
  <c r="B437" i="4" s="1"/>
  <c r="D437" i="4" s="1"/>
  <c r="F437" i="4" l="1"/>
  <c r="G437" i="4" s="1"/>
  <c r="B438" i="4" s="1"/>
  <c r="D438" i="4" s="1"/>
  <c r="F438" i="4" l="1"/>
  <c r="G438" i="4" s="1"/>
  <c r="B439" i="4" s="1"/>
  <c r="D439" i="4" s="1"/>
  <c r="G439" i="4" l="1"/>
  <c r="B440" i="4" s="1"/>
  <c r="D440" i="4" s="1"/>
  <c r="F439" i="4"/>
  <c r="G440" i="4" l="1"/>
  <c r="B441" i="4" s="1"/>
  <c r="D441" i="4" s="1"/>
  <c r="F440" i="4"/>
  <c r="G441" i="4" l="1"/>
  <c r="B442" i="4" s="1"/>
  <c r="D442" i="4" s="1"/>
  <c r="F441" i="4"/>
  <c r="G442" i="4" l="1"/>
  <c r="B443" i="4" s="1"/>
  <c r="D443" i="4" s="1"/>
  <c r="F442" i="4"/>
  <c r="F443" i="4" l="1"/>
  <c r="G443" i="4" s="1"/>
  <c r="B444" i="4" s="1"/>
  <c r="D444" i="4" s="1"/>
  <c r="G444" i="4" l="1"/>
  <c r="B445" i="4" s="1"/>
  <c r="D445" i="4" s="1"/>
  <c r="F444" i="4"/>
  <c r="G445" i="4" l="1"/>
  <c r="B446" i="4" s="1"/>
  <c r="D446" i="4" s="1"/>
  <c r="F445" i="4"/>
  <c r="G446" i="4" l="1"/>
  <c r="B447" i="4" s="1"/>
  <c r="D447" i="4" s="1"/>
  <c r="F446" i="4"/>
  <c r="G447" i="4" l="1"/>
  <c r="B448" i="4" s="1"/>
  <c r="D448" i="4" s="1"/>
  <c r="F447" i="4"/>
  <c r="G448" i="4" l="1"/>
  <c r="B449" i="4" s="1"/>
  <c r="D449" i="4" s="1"/>
  <c r="F448" i="4"/>
  <c r="F449" i="4" l="1"/>
  <c r="G449" i="4" s="1"/>
  <c r="B450" i="4" s="1"/>
  <c r="D450" i="4" s="1"/>
  <c r="F450" i="4" l="1"/>
  <c r="G450" i="4" s="1"/>
  <c r="B451" i="4" s="1"/>
  <c r="D451" i="4" s="1"/>
  <c r="F451" i="4" l="1"/>
  <c r="G451" i="4" s="1"/>
  <c r="B452" i="4" s="1"/>
  <c r="D452" i="4" s="1"/>
  <c r="G452" i="4" l="1"/>
  <c r="B453" i="4" s="1"/>
  <c r="D453" i="4" s="1"/>
  <c r="F452" i="4"/>
  <c r="F453" i="4" l="1"/>
  <c r="G453" i="4" s="1"/>
  <c r="B454" i="4" s="1"/>
  <c r="D454" i="4" s="1"/>
  <c r="F454" i="4" l="1"/>
  <c r="G454" i="4" s="1"/>
  <c r="B455" i="4" s="1"/>
  <c r="D455" i="4" s="1"/>
  <c r="F455" i="4" l="1"/>
  <c r="G455" i="4" s="1"/>
  <c r="B456" i="4" s="1"/>
  <c r="D456" i="4" s="1"/>
  <c r="F456" i="4" l="1"/>
  <c r="G456" i="4" s="1"/>
  <c r="B457" i="4" s="1"/>
  <c r="D457" i="4" s="1"/>
  <c r="F457" i="4" l="1"/>
  <c r="G457" i="4" s="1"/>
  <c r="B458" i="4" s="1"/>
  <c r="D458" i="4" s="1"/>
  <c r="F458" i="4" l="1"/>
  <c r="G458" i="4" s="1"/>
  <c r="B459" i="4" s="1"/>
  <c r="D459" i="4" s="1"/>
  <c r="F459" i="4" l="1"/>
  <c r="G459" i="4" s="1"/>
  <c r="B460" i="4" s="1"/>
  <c r="D460" i="4" s="1"/>
  <c r="G460" i="4" l="1"/>
  <c r="B461" i="4" s="1"/>
  <c r="D461" i="4" s="1"/>
  <c r="F460" i="4"/>
  <c r="F461" i="4" l="1"/>
  <c r="G461" i="4" s="1"/>
  <c r="B462" i="4" s="1"/>
  <c r="D462" i="4" s="1"/>
  <c r="F462" i="4" l="1"/>
  <c r="G462" i="4" s="1"/>
  <c r="B463" i="4" s="1"/>
  <c r="D463" i="4" s="1"/>
  <c r="F463" i="4" l="1"/>
  <c r="G463" i="4" s="1"/>
  <c r="B464" i="4" s="1"/>
  <c r="D464" i="4" s="1"/>
  <c r="F464" i="4" l="1"/>
  <c r="G464" i="4" s="1"/>
  <c r="B465" i="4" s="1"/>
  <c r="D465" i="4" s="1"/>
  <c r="F465" i="4" l="1"/>
  <c r="G465" i="4" s="1"/>
  <c r="B466" i="4" s="1"/>
  <c r="D466" i="4" s="1"/>
  <c r="F466" i="4" l="1"/>
  <c r="G466" i="4" s="1"/>
  <c r="B467" i="4" s="1"/>
  <c r="D467" i="4" s="1"/>
  <c r="F467" i="4" l="1"/>
  <c r="G467" i="4" s="1"/>
  <c r="B468" i="4" s="1"/>
  <c r="D468" i="4" s="1"/>
  <c r="F468" i="4" l="1"/>
  <c r="G468" i="4" s="1"/>
  <c r="B469" i="4" s="1"/>
  <c r="D469" i="4" s="1"/>
  <c r="F469" i="4" l="1"/>
  <c r="G469" i="4" s="1"/>
  <c r="B470" i="4" s="1"/>
  <c r="D470" i="4" s="1"/>
  <c r="F470" i="4" l="1"/>
  <c r="G470" i="4" s="1"/>
  <c r="B471" i="4" s="1"/>
  <c r="D471" i="4" s="1"/>
  <c r="F471" i="4" l="1"/>
  <c r="G471" i="4" s="1"/>
  <c r="B472" i="4" s="1"/>
  <c r="D472" i="4" s="1"/>
  <c r="F472" i="4" l="1"/>
  <c r="G472" i="4" s="1"/>
  <c r="B473" i="4" s="1"/>
  <c r="D473" i="4" s="1"/>
  <c r="F473" i="4" l="1"/>
  <c r="G473" i="4" s="1"/>
  <c r="B474" i="4" s="1"/>
  <c r="D474" i="4" s="1"/>
  <c r="F474" i="4" l="1"/>
  <c r="G474" i="4" s="1"/>
  <c r="B475" i="4" s="1"/>
  <c r="D475" i="4" s="1"/>
  <c r="F475" i="4" l="1"/>
  <c r="G475" i="4"/>
  <c r="B476" i="4" s="1"/>
  <c r="D476" i="4" s="1"/>
  <c r="F476" i="4" l="1"/>
  <c r="G476" i="4" s="1"/>
  <c r="B477" i="4" s="1"/>
  <c r="D477" i="4" s="1"/>
  <c r="F477" i="4" l="1"/>
  <c r="G477" i="4" s="1"/>
  <c r="B478" i="4" s="1"/>
  <c r="D478" i="4" s="1"/>
  <c r="F478" i="4" l="1"/>
  <c r="G478" i="4" s="1"/>
  <c r="B479" i="4" s="1"/>
  <c r="D479" i="4" s="1"/>
  <c r="F479" i="4" l="1"/>
  <c r="G479" i="4" s="1"/>
  <c r="B480" i="4" s="1"/>
  <c r="D480" i="4" s="1"/>
  <c r="F480" i="4" l="1"/>
  <c r="G480" i="4" s="1"/>
  <c r="B481" i="4" s="1"/>
  <c r="D481" i="4" s="1"/>
  <c r="F481" i="4" l="1"/>
  <c r="G481" i="4" s="1"/>
  <c r="B482" i="4" s="1"/>
  <c r="D482" i="4" s="1"/>
  <c r="F482" i="4" l="1"/>
  <c r="G482" i="4" s="1"/>
  <c r="B483" i="4" s="1"/>
  <c r="D483" i="4" s="1"/>
  <c r="F483" i="4" l="1"/>
  <c r="G483" i="4" s="1"/>
  <c r="B484" i="4" s="1"/>
  <c r="D484" i="4" s="1"/>
  <c r="F484" i="4" l="1"/>
  <c r="G484" i="4" s="1"/>
  <c r="B485" i="4" s="1"/>
  <c r="D485" i="4" s="1"/>
  <c r="F485" i="4" l="1"/>
  <c r="G485" i="4" s="1"/>
  <c r="B486" i="4" s="1"/>
  <c r="D486" i="4" s="1"/>
  <c r="F486" i="4" l="1"/>
  <c r="G486" i="4" s="1"/>
  <c r="B487" i="4" s="1"/>
  <c r="D487" i="4" s="1"/>
  <c r="F487" i="4" l="1"/>
  <c r="G487" i="4" s="1"/>
  <c r="B488" i="4" s="1"/>
  <c r="D488" i="4" s="1"/>
  <c r="F488" i="4" l="1"/>
  <c r="G488" i="4" s="1"/>
  <c r="B489" i="4" s="1"/>
  <c r="D489" i="4" s="1"/>
  <c r="F489" i="4" l="1"/>
  <c r="G489" i="4" s="1"/>
  <c r="B490" i="4" s="1"/>
  <c r="D490" i="4" s="1"/>
  <c r="F490" i="4" l="1"/>
  <c r="G490" i="4"/>
  <c r="B491" i="4" s="1"/>
  <c r="D491" i="4" s="1"/>
  <c r="F491" i="4" l="1"/>
  <c r="G491" i="4" s="1"/>
  <c r="B492" i="4" s="1"/>
  <c r="D492" i="4" s="1"/>
  <c r="F492" i="4" l="1"/>
  <c r="G492" i="4" s="1"/>
  <c r="B493" i="4" s="1"/>
  <c r="D493" i="4" s="1"/>
  <c r="F493" i="4" l="1"/>
  <c r="G493" i="4" s="1"/>
  <c r="B494" i="4" s="1"/>
  <c r="D494" i="4" s="1"/>
  <c r="F494" i="4" l="1"/>
  <c r="G494" i="4"/>
  <c r="B495" i="4" s="1"/>
  <c r="D495" i="4" s="1"/>
  <c r="F495" i="4" l="1"/>
  <c r="G495" i="4" s="1"/>
  <c r="B496" i="4" s="1"/>
  <c r="D496" i="4" s="1"/>
  <c r="F496" i="4" l="1"/>
  <c r="G496" i="4" s="1"/>
  <c r="B497" i="4" s="1"/>
  <c r="D497" i="4" s="1"/>
  <c r="F497" i="4" l="1"/>
  <c r="G497" i="4" s="1"/>
  <c r="B498" i="4" s="1"/>
  <c r="D498" i="4" s="1"/>
  <c r="F498" i="4" l="1"/>
  <c r="G498" i="4" s="1"/>
  <c r="B499" i="4" s="1"/>
  <c r="D499" i="4" s="1"/>
  <c r="F499" i="4" l="1"/>
  <c r="G499" i="4" s="1"/>
  <c r="B500" i="4" s="1"/>
  <c r="D500" i="4" s="1"/>
  <c r="F500" i="4" l="1"/>
  <c r="G500" i="4" s="1"/>
  <c r="B501" i="4" s="1"/>
  <c r="D501" i="4" s="1"/>
  <c r="F501" i="4" l="1"/>
  <c r="G501" i="4" s="1"/>
  <c r="B502" i="4" s="1"/>
  <c r="D502" i="4" s="1"/>
  <c r="F502" i="4" l="1"/>
  <c r="G502" i="4" s="1"/>
  <c r="B503" i="4" s="1"/>
  <c r="D503" i="4" s="1"/>
  <c r="F503" i="4" l="1"/>
  <c r="G503" i="4" s="1"/>
  <c r="B504" i="4" s="1"/>
  <c r="D504" i="4" s="1"/>
  <c r="F504" i="4" l="1"/>
  <c r="G504" i="4" s="1"/>
  <c r="B505" i="4" s="1"/>
  <c r="D505" i="4" s="1"/>
  <c r="F505" i="4" l="1"/>
  <c r="G505" i="4" s="1"/>
  <c r="B506" i="4" s="1"/>
  <c r="D506" i="4" s="1"/>
  <c r="F506" i="4" l="1"/>
  <c r="G506" i="4"/>
  <c r="B507" i="4" s="1"/>
  <c r="D507" i="4" s="1"/>
  <c r="F507" i="4" l="1"/>
  <c r="G507" i="4" s="1"/>
  <c r="B508" i="4" s="1"/>
  <c r="D508" i="4" s="1"/>
  <c r="F508" i="4" l="1"/>
  <c r="G508" i="4" s="1"/>
  <c r="B509" i="4" s="1"/>
  <c r="D509" i="4" s="1"/>
  <c r="F509" i="4" l="1"/>
  <c r="G509" i="4" s="1"/>
  <c r="B510" i="4" s="1"/>
  <c r="D510" i="4" s="1"/>
  <c r="F510" i="4" l="1"/>
  <c r="G510" i="4"/>
  <c r="B511" i="4" s="1"/>
  <c r="D511" i="4" s="1"/>
  <c r="F511" i="4" l="1"/>
  <c r="G511" i="4" s="1"/>
  <c r="B512" i="4" s="1"/>
  <c r="D512" i="4" s="1"/>
  <c r="F512" i="4" l="1"/>
  <c r="G512" i="4" s="1"/>
  <c r="B513" i="4" l="1"/>
  <c r="D513" i="4" s="1"/>
  <c r="F513" i="4"/>
  <c r="G513" i="4" s="1"/>
  <c r="B514" i="4" s="1"/>
  <c r="D514" i="4" s="1"/>
  <c r="F514" i="4" l="1"/>
  <c r="G514" i="4" s="1"/>
  <c r="B515" i="4" l="1"/>
  <c r="D515" i="4" s="1"/>
  <c r="F515" i="4"/>
  <c r="G515" i="4" s="1"/>
  <c r="B516" i="4" s="1"/>
  <c r="D516" i="4" s="1"/>
  <c r="F516" i="4" l="1"/>
  <c r="G516" i="4" s="1"/>
  <c r="B517" i="4" l="1"/>
  <c r="D517" i="4" s="1"/>
  <c r="F517" i="4"/>
  <c r="G517" i="4" s="1"/>
  <c r="B518" i="4" s="1"/>
  <c r="D518" i="4" s="1"/>
  <c r="F518" i="4" l="1"/>
  <c r="G518" i="4" s="1"/>
  <c r="B519" i="4" s="1"/>
  <c r="D519" i="4" s="1"/>
  <c r="F519" i="4" l="1"/>
  <c r="G519" i="4" s="1"/>
  <c r="B520" i="4" l="1"/>
  <c r="D520" i="4" s="1"/>
  <c r="F520" i="4"/>
  <c r="G520" i="4" s="1"/>
  <c r="B521" i="4" s="1"/>
  <c r="D521" i="4" s="1"/>
  <c r="F521" i="4" l="1"/>
  <c r="G521" i="4" s="1"/>
  <c r="B522" i="4" s="1"/>
  <c r="D522" i="4" s="1"/>
  <c r="F522" i="4" l="1"/>
  <c r="G522" i="4"/>
  <c r="B523" i="4" s="1"/>
  <c r="D523" i="4" s="1"/>
  <c r="F523" i="4" l="1"/>
  <c r="G523" i="4" s="1"/>
  <c r="B524" i="4" s="1"/>
  <c r="D524" i="4" s="1"/>
  <c r="F524" i="4" l="1"/>
  <c r="G524" i="4" s="1"/>
  <c r="B525" i="4" s="1"/>
  <c r="D525" i="4" s="1"/>
  <c r="F525" i="4" l="1"/>
  <c r="G525" i="4" s="1"/>
  <c r="B526" i="4" s="1"/>
  <c r="D526" i="4" s="1"/>
  <c r="F526" i="4" l="1"/>
  <c r="G526" i="4"/>
  <c r="B527" i="4" s="1"/>
  <c r="D527" i="4" s="1"/>
  <c r="F527" i="4" l="1"/>
  <c r="G527" i="4" s="1"/>
  <c r="B528" i="4" s="1"/>
  <c r="D528" i="4" s="1"/>
  <c r="F528" i="4" l="1"/>
  <c r="G528" i="4" s="1"/>
  <c r="B529" i="4" s="1"/>
  <c r="D529" i="4" s="1"/>
  <c r="F529" i="4" l="1"/>
  <c r="G529" i="4" s="1"/>
  <c r="B530" i="4" s="1"/>
  <c r="D530" i="4" s="1"/>
  <c r="F530" i="4" l="1"/>
  <c r="G530" i="4" s="1"/>
  <c r="B531" i="4" s="1"/>
  <c r="D531" i="4" s="1"/>
  <c r="F531" i="4" l="1"/>
  <c r="G531" i="4" s="1"/>
  <c r="B532" i="4" s="1"/>
  <c r="D532" i="4" s="1"/>
  <c r="F532" i="4" l="1"/>
  <c r="G532" i="4" s="1"/>
  <c r="B533" i="4" s="1"/>
  <c r="D533" i="4" s="1"/>
  <c r="F533" i="4" l="1"/>
  <c r="G533" i="4" s="1"/>
  <c r="B534" i="4" s="1"/>
  <c r="D534" i="4" s="1"/>
  <c r="F534" i="4" l="1"/>
  <c r="G534" i="4" s="1"/>
  <c r="B535" i="4" s="1"/>
  <c r="D535" i="4" s="1"/>
  <c r="F535" i="4" l="1"/>
  <c r="G535" i="4" s="1"/>
  <c r="B536" i="4" s="1"/>
  <c r="D536" i="4" s="1"/>
  <c r="F536" i="4" l="1"/>
  <c r="G536" i="4" s="1"/>
  <c r="B537" i="4" s="1"/>
  <c r="D537" i="4" s="1"/>
  <c r="F537" i="4" l="1"/>
  <c r="G537" i="4" s="1"/>
  <c r="B538" i="4" s="1"/>
  <c r="D538" i="4" s="1"/>
  <c r="F538" i="4" l="1"/>
  <c r="G538" i="4"/>
  <c r="B539" i="4" s="1"/>
  <c r="D539" i="4" s="1"/>
  <c r="F539" i="4" l="1"/>
  <c r="G539" i="4" s="1"/>
  <c r="B540" i="4" s="1"/>
  <c r="D540" i="4" s="1"/>
  <c r="F540" i="4" l="1"/>
  <c r="G540" i="4" s="1"/>
  <c r="B541" i="4" s="1"/>
  <c r="D541" i="4" s="1"/>
  <c r="F541" i="4" l="1"/>
  <c r="G541" i="4" s="1"/>
  <c r="B542" i="4" s="1"/>
  <c r="D542" i="4" s="1"/>
  <c r="F542" i="4" l="1"/>
  <c r="G542" i="4"/>
  <c r="B543" i="4" s="1"/>
  <c r="D543" i="4" s="1"/>
  <c r="F543" i="4" l="1"/>
  <c r="G543" i="4" s="1"/>
  <c r="B544" i="4" s="1"/>
  <c r="D544" i="4" s="1"/>
  <c r="F544" i="4" l="1"/>
  <c r="G544" i="4" s="1"/>
  <c r="B545" i="4" s="1"/>
  <c r="D545" i="4" s="1"/>
  <c r="F545" i="4" l="1"/>
  <c r="G545" i="4" s="1"/>
  <c r="B546" i="4" s="1"/>
  <c r="D546" i="4" s="1"/>
  <c r="F546" i="4" l="1"/>
  <c r="G546" i="4" s="1"/>
  <c r="B547" i="4" s="1"/>
  <c r="D547" i="4" s="1"/>
  <c r="F547" i="4" l="1"/>
  <c r="G547" i="4" s="1"/>
  <c r="B548" i="4" s="1"/>
  <c r="D548" i="4" s="1"/>
  <c r="F548" i="4" l="1"/>
  <c r="G548" i="4" s="1"/>
  <c r="B549" i="4" s="1"/>
  <c r="D549" i="4" s="1"/>
  <c r="F549" i="4" l="1"/>
  <c r="G549" i="4" s="1"/>
  <c r="B550" i="4" s="1"/>
  <c r="D550" i="4" s="1"/>
  <c r="F550" i="4" l="1"/>
  <c r="G550" i="4" s="1"/>
  <c r="B551" i="4" s="1"/>
  <c r="D551" i="4" s="1"/>
  <c r="F551" i="4" l="1"/>
  <c r="G551" i="4" s="1"/>
  <c r="B552" i="4" s="1"/>
  <c r="D552" i="4" s="1"/>
  <c r="F552" i="4" l="1"/>
  <c r="G552" i="4" s="1"/>
  <c r="B553" i="4" s="1"/>
  <c r="D553" i="4" s="1"/>
  <c r="F553" i="4" l="1"/>
  <c r="G553" i="4" s="1"/>
  <c r="B554" i="4" s="1"/>
  <c r="D554" i="4" s="1"/>
  <c r="F554" i="4" l="1"/>
  <c r="G554" i="4"/>
  <c r="B555" i="4" s="1"/>
  <c r="D555" i="4" s="1"/>
  <c r="F555" i="4" l="1"/>
  <c r="G555" i="4" s="1"/>
  <c r="B556" i="4" s="1"/>
  <c r="D556" i="4" s="1"/>
  <c r="F556" i="4" l="1"/>
  <c r="G556" i="4" s="1"/>
  <c r="B557" i="4" s="1"/>
  <c r="D557" i="4" s="1"/>
  <c r="F557" i="4" l="1"/>
  <c r="G557" i="4" s="1"/>
  <c r="B558" i="4" s="1"/>
  <c r="D558" i="4" s="1"/>
  <c r="F558" i="4" l="1"/>
  <c r="G558" i="4"/>
  <c r="B559" i="4" s="1"/>
  <c r="D559" i="4" s="1"/>
  <c r="F559" i="4" l="1"/>
  <c r="G559" i="4" s="1"/>
  <c r="B560" i="4" s="1"/>
  <c r="D560" i="4" s="1"/>
  <c r="F560" i="4" l="1"/>
  <c r="G560" i="4" s="1"/>
  <c r="B561" i="4" s="1"/>
  <c r="D561" i="4" s="1"/>
  <c r="F561" i="4" l="1"/>
  <c r="G561" i="4" s="1"/>
  <c r="B562" i="4" s="1"/>
  <c r="D562" i="4" s="1"/>
  <c r="F562" i="4" l="1"/>
  <c r="G562" i="4" s="1"/>
  <c r="B563" i="4" s="1"/>
  <c r="D563" i="4" s="1"/>
  <c r="F563" i="4" l="1"/>
  <c r="G563" i="4" s="1"/>
  <c r="B564" i="4" s="1"/>
  <c r="D564" i="4" s="1"/>
  <c r="F564" i="4" l="1"/>
  <c r="G564" i="4" s="1"/>
  <c r="B565" i="4" s="1"/>
  <c r="D565" i="4" s="1"/>
  <c r="F565" i="4" l="1"/>
  <c r="G565" i="4" s="1"/>
  <c r="B566" i="4" s="1"/>
  <c r="D566" i="4" s="1"/>
  <c r="F566" i="4" l="1"/>
  <c r="G566" i="4" s="1"/>
  <c r="B567" i="4" s="1"/>
  <c r="D567" i="4" s="1"/>
  <c r="F567" i="4" l="1"/>
  <c r="G567" i="4" s="1"/>
  <c r="B568" i="4" s="1"/>
  <c r="D568" i="4" s="1"/>
  <c r="F568" i="4" l="1"/>
  <c r="G568" i="4" s="1"/>
  <c r="B569" i="4" s="1"/>
  <c r="D569" i="4" s="1"/>
  <c r="F569" i="4" l="1"/>
  <c r="G569" i="4" s="1"/>
  <c r="B570" i="4" s="1"/>
  <c r="D570" i="4" s="1"/>
  <c r="F570" i="4" l="1"/>
  <c r="G570" i="4"/>
  <c r="B571" i="4" s="1"/>
  <c r="D571" i="4" s="1"/>
  <c r="F571" i="4" l="1"/>
  <c r="G571" i="4" s="1"/>
  <c r="B572" i="4" s="1"/>
  <c r="D572" i="4" s="1"/>
  <c r="F572" i="4" l="1"/>
  <c r="G572" i="4" s="1"/>
  <c r="B573" i="4" s="1"/>
  <c r="D573" i="4" s="1"/>
  <c r="F573" i="4" l="1"/>
  <c r="G573" i="4" s="1"/>
  <c r="B574" i="4" s="1"/>
  <c r="D574" i="4" s="1"/>
  <c r="F574" i="4" l="1"/>
  <c r="G574" i="4"/>
  <c r="B575" i="4" s="1"/>
  <c r="D575" i="4" s="1"/>
  <c r="F575" i="4" l="1"/>
  <c r="G575" i="4" s="1"/>
  <c r="B576" i="4" s="1"/>
  <c r="D576" i="4" s="1"/>
  <c r="F576" i="4" l="1"/>
  <c r="G576" i="4" s="1"/>
  <c r="B577" i="4" s="1"/>
  <c r="D577" i="4" s="1"/>
  <c r="F577" i="4" l="1"/>
  <c r="G577" i="4" s="1"/>
  <c r="B578" i="4" s="1"/>
  <c r="D578" i="4" s="1"/>
  <c r="F578" i="4" l="1"/>
  <c r="G578" i="4" s="1"/>
  <c r="B579" i="4" s="1"/>
  <c r="D579" i="4" s="1"/>
  <c r="F579" i="4" l="1"/>
  <c r="G579" i="4" s="1"/>
  <c r="B580" i="4" s="1"/>
  <c r="D580" i="4" s="1"/>
  <c r="F580" i="4" l="1"/>
  <c r="G580" i="4" s="1"/>
  <c r="B581" i="4" s="1"/>
  <c r="D581" i="4" s="1"/>
  <c r="F581" i="4" l="1"/>
  <c r="G581" i="4" s="1"/>
  <c r="B582" i="4" s="1"/>
  <c r="D582" i="4" s="1"/>
  <c r="F582" i="4" l="1"/>
  <c r="G582" i="4" s="1"/>
  <c r="B583" i="4" s="1"/>
  <c r="D583" i="4" s="1"/>
  <c r="F583" i="4" l="1"/>
  <c r="G583" i="4" s="1"/>
  <c r="B584" i="4" s="1"/>
  <c r="D584" i="4" s="1"/>
  <c r="F584" i="4" l="1"/>
  <c r="G584" i="4" s="1"/>
  <c r="B585" i="4" s="1"/>
  <c r="D585" i="4" s="1"/>
  <c r="F585" i="4" l="1"/>
  <c r="G585" i="4" s="1"/>
  <c r="B586" i="4" s="1"/>
  <c r="D586" i="4" s="1"/>
  <c r="F586" i="4" l="1"/>
  <c r="G586" i="4"/>
  <c r="B587" i="4" s="1"/>
  <c r="D587" i="4" s="1"/>
  <c r="F587" i="4" l="1"/>
  <c r="G587" i="4" s="1"/>
  <c r="B588" i="4" s="1"/>
  <c r="D588" i="4" s="1"/>
  <c r="F588" i="4" l="1"/>
  <c r="G588" i="4" s="1"/>
  <c r="B589" i="4" s="1"/>
  <c r="D589" i="4" s="1"/>
  <c r="F589" i="4" l="1"/>
  <c r="G589" i="4" s="1"/>
  <c r="B590" i="4" s="1"/>
  <c r="D590" i="4" s="1"/>
  <c r="F590" i="4" l="1"/>
  <c r="G590" i="4" s="1"/>
  <c r="B591" i="4" s="1"/>
  <c r="D591" i="4" s="1"/>
  <c r="F591" i="4" l="1"/>
  <c r="G591" i="4" s="1"/>
  <c r="B592" i="4" s="1"/>
  <c r="D592" i="4" s="1"/>
  <c r="F592" i="4" l="1"/>
  <c r="G592" i="4" s="1"/>
  <c r="B593" i="4" s="1"/>
  <c r="D593" i="4" s="1"/>
  <c r="F593" i="4" l="1"/>
  <c r="G593" i="4" s="1"/>
  <c r="B594" i="4" s="1"/>
  <c r="D594" i="4" s="1"/>
  <c r="F594" i="4" l="1"/>
  <c r="G594" i="4" s="1"/>
  <c r="B595" i="4" s="1"/>
  <c r="D595" i="4" s="1"/>
  <c r="F595" i="4" l="1"/>
  <c r="G595" i="4" s="1"/>
  <c r="B596" i="4" s="1"/>
  <c r="D596" i="4" s="1"/>
  <c r="F596" i="4" l="1"/>
  <c r="G596" i="4" s="1"/>
  <c r="B597" i="4" s="1"/>
  <c r="D597" i="4" s="1"/>
  <c r="F597" i="4" l="1"/>
  <c r="G597" i="4" s="1"/>
  <c r="B598" i="4" s="1"/>
  <c r="D598" i="4" s="1"/>
  <c r="F598" i="4" l="1"/>
  <c r="G598" i="4" s="1"/>
  <c r="B599" i="4" s="1"/>
  <c r="D599" i="4" s="1"/>
  <c r="F599" i="4" l="1"/>
  <c r="G599" i="4" s="1"/>
  <c r="B600" i="4" s="1"/>
  <c r="D600" i="4" s="1"/>
  <c r="F600" i="4" l="1"/>
  <c r="G600" i="4" s="1"/>
  <c r="B601" i="4" s="1"/>
  <c r="D601" i="4" s="1"/>
  <c r="F601" i="4" l="1"/>
  <c r="G601" i="4" s="1"/>
  <c r="B602" i="4" s="1"/>
  <c r="D602" i="4" s="1"/>
  <c r="F602" i="4" l="1"/>
  <c r="G602" i="4"/>
  <c r="B603" i="4" s="1"/>
  <c r="D603" i="4" s="1"/>
  <c r="F603" i="4" l="1"/>
  <c r="G603" i="4" s="1"/>
  <c r="B604" i="4" s="1"/>
  <c r="D604" i="4" s="1"/>
  <c r="F604" i="4" l="1"/>
  <c r="G604" i="4" s="1"/>
  <c r="B605" i="4" s="1"/>
  <c r="D605" i="4" s="1"/>
  <c r="F605" i="4" l="1"/>
  <c r="G605" i="4" s="1"/>
  <c r="B606" i="4" s="1"/>
  <c r="D606" i="4" s="1"/>
  <c r="F606" i="4" l="1"/>
  <c r="G606" i="4"/>
  <c r="B607" i="4" s="1"/>
  <c r="D607" i="4" s="1"/>
  <c r="F607" i="4" l="1"/>
  <c r="G607" i="4" s="1"/>
  <c r="B608" i="4" s="1"/>
  <c r="D608" i="4" s="1"/>
  <c r="F608" i="4" l="1"/>
  <c r="G608" i="4" s="1"/>
  <c r="B609" i="4" s="1"/>
  <c r="D609" i="4" s="1"/>
  <c r="G609" i="4" l="1"/>
  <c r="B610" i="4" s="1"/>
  <c r="D610" i="4" s="1"/>
  <c r="F609" i="4"/>
  <c r="F610" i="4" l="1"/>
  <c r="G610" i="4" s="1"/>
  <c r="B611" i="4" s="1"/>
  <c r="D611" i="4" s="1"/>
  <c r="G611" i="4" l="1"/>
  <c r="B612" i="4" s="1"/>
  <c r="D612" i="4" s="1"/>
  <c r="F611" i="4"/>
  <c r="F612" i="4" l="1"/>
  <c r="G612" i="4" s="1"/>
  <c r="B613" i="4" s="1"/>
  <c r="D613" i="4" s="1"/>
  <c r="F613" i="4" l="1"/>
  <c r="G613" i="4" s="1"/>
  <c r="B614" i="4" s="1"/>
  <c r="D614" i="4" s="1"/>
  <c r="F614" i="4" l="1"/>
  <c r="G614" i="4" s="1"/>
  <c r="B615" i="4" s="1"/>
  <c r="D615" i="4" s="1"/>
  <c r="F615" i="4" l="1"/>
  <c r="G615" i="4" s="1"/>
  <c r="B616" i="4" s="1"/>
  <c r="D616" i="4" s="1"/>
  <c r="F616" i="4" l="1"/>
  <c r="G616" i="4" s="1"/>
  <c r="B617" i="4" s="1"/>
  <c r="D617" i="4" s="1"/>
  <c r="F617" i="4" l="1"/>
  <c r="G617" i="4" s="1"/>
  <c r="B618" i="4" s="1"/>
  <c r="D618" i="4" s="1"/>
  <c r="F618" i="4" l="1"/>
  <c r="G618" i="4"/>
  <c r="B619" i="4" s="1"/>
  <c r="D619" i="4" s="1"/>
  <c r="F619" i="4" l="1"/>
  <c r="G619" i="4" s="1"/>
  <c r="M2" i="7" s="1"/>
  <c r="M4" i="7" l="1"/>
  <c r="M5" i="7"/>
  <c r="M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<sst xmlns="http://schemas.openxmlformats.org/spreadsheetml/2006/main" count="58" uniqueCount="49">
  <si>
    <t>Objetivo principal</t>
  </si>
  <si>
    <t>Tolerância a perdas (%)</t>
  </si>
  <si>
    <t>Perfil</t>
  </si>
  <si>
    <t>Renda Variável Nacional</t>
  </si>
  <si>
    <t>Classe de Ativo</t>
  </si>
  <si>
    <t>Conservador</t>
  </si>
  <si>
    <t>Moderado</t>
  </si>
  <si>
    <t>Agressivo</t>
  </si>
  <si>
    <t>Estratégia</t>
  </si>
  <si>
    <t>Reinvestimento de rendimentos</t>
  </si>
  <si>
    <t>Crescimento anual do aporte (%)</t>
  </si>
  <si>
    <t>Classes de Ativos</t>
  </si>
  <si>
    <t>Capital inicial (R$)</t>
  </si>
  <si>
    <t>Aporte mensal (R$)</t>
  </si>
  <si>
    <t>Prazo do investimento (anos)</t>
  </si>
  <si>
    <t>Sim</t>
  </si>
  <si>
    <t>Horizonte (Meses)</t>
  </si>
  <si>
    <t>Descrição Conceitual</t>
  </si>
  <si>
    <t>Alocação Ativa</t>
  </si>
  <si>
    <t>Perfil Estratégico:</t>
  </si>
  <si>
    <t>Reserva de segurança e baixo risco. Preservação de capital.</t>
  </si>
  <si>
    <t>Renda Fixa Estratégica</t>
  </si>
  <si>
    <t>Procura superar a inflação com risco controlado. Títulos de crédito ou soberanos.</t>
  </si>
  <si>
    <t>Participação em empresas. Motor de crescimento de longo prazo, com alta volatilidade.</t>
  </si>
  <si>
    <t>Proteção contra risco do país e acesso a mercados globais. Hedge cambial</t>
  </si>
  <si>
    <t>Alocação</t>
  </si>
  <si>
    <t>Retorno Anual Esperado</t>
  </si>
  <si>
    <t>Retorno Mensal</t>
  </si>
  <si>
    <t>Liquidez</t>
  </si>
  <si>
    <t>Internacional</t>
  </si>
  <si>
    <t>Retorno Mensal da Carteira</t>
  </si>
  <si>
    <t>Mês</t>
  </si>
  <si>
    <t>Saldo Inicial</t>
  </si>
  <si>
    <t>Aporte Mensal</t>
  </si>
  <si>
    <t>Base de Cálculo</t>
  </si>
  <si>
    <t>Retorno (R$)</t>
  </si>
  <si>
    <t>Retorno (%)</t>
  </si>
  <si>
    <t>Saldo Final</t>
  </si>
  <si>
    <t>Base</t>
  </si>
  <si>
    <t>Cenários</t>
  </si>
  <si>
    <t>Otimista</t>
  </si>
  <si>
    <t>Estressado</t>
  </si>
  <si>
    <t>Cenário Selecionado</t>
  </si>
  <si>
    <t>INVESTIMENTO MENSAL</t>
  </si>
  <si>
    <t>Renda</t>
  </si>
  <si>
    <t xml:space="preserve"> </t>
  </si>
  <si>
    <t>ATIVO</t>
  </si>
  <si>
    <t>VALOR</t>
  </si>
  <si>
    <t>%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</si>
</sst>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u UI"/>
    </font>
    <font>
      <sz val="11"/>
      <color theme="1"/>
      <name val="Segoe UI"/>
      <family val="2"/>
    </font>
    <font>
      <b/>
      <sz val="11"/>
      <color theme="1"/>
      <name val="Segou UI"/>
    </font>
    <font>
      <b/>
      <sz val="12"/>
      <color theme="1"/>
      <name val="Segou UI"/>
    </font>
    <font>
      <b/>
      <sz val="11"/>
      <name val="Segoe UI"/>
      <family val="2"/>
    </font>
    <font>
      <sz val="11"/>
      <name val="Aptos Narrow"/>
      <family val="2"/>
      <scheme val="minor"/>
    </font>
    <font>
      <sz val="11"/>
      <name val="Segoe UI"/>
      <family val="2"/>
    </font>
    <font>
      <b/>
      <sz val="18"/>
      <color theme="0"/>
      <name val="Segoe UI"/>
      <family val="2"/>
    </font>
    <font>
      <b/>
      <sz val="12"/>
      <color theme="0"/>
      <name val="Segoe UI"/>
      <family val="2"/>
    </font>
    <font>
      <sz val="11"/>
      <color theme="9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indexed="64"/>
      </right>
      <top/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2" tint="-0.249977111117893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2" tint="-0.249977111117893"/>
      </right>
      <top style="thin">
        <color theme="0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/>
      <bottom style="thin">
        <color theme="2" tint="-0.249977111117893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left"/>
    </xf>
    <xf numFmtId="9" fontId="6" fillId="0" borderId="15" xfId="2" applyFont="1" applyBorder="1" applyAlignment="1">
      <alignment horizontal="center" vertical="center"/>
    </xf>
    <xf numFmtId="9" fontId="6" fillId="0" borderId="16" xfId="2" applyFont="1" applyBorder="1" applyAlignment="1">
      <alignment horizontal="center" vertical="center"/>
    </xf>
    <xf numFmtId="9" fontId="6" fillId="0" borderId="12" xfId="2" applyFont="1" applyBorder="1" applyAlignment="1">
      <alignment horizontal="center" vertical="center"/>
    </xf>
    <xf numFmtId="9" fontId="6" fillId="0" borderId="18" xfId="2" applyFont="1" applyBorder="1" applyAlignment="1">
      <alignment horizontal="center" vertical="center"/>
    </xf>
    <xf numFmtId="9" fontId="6" fillId="0" borderId="19" xfId="2" applyFont="1" applyBorder="1" applyAlignment="1">
      <alignment horizontal="center" vertical="center"/>
    </xf>
    <xf numFmtId="9" fontId="6" fillId="0" borderId="10" xfId="2" applyFont="1" applyBorder="1" applyAlignment="1">
      <alignment horizontal="center" vertical="center"/>
    </xf>
    <xf numFmtId="9" fontId="6" fillId="0" borderId="1" xfId="2" applyFont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 indent="1"/>
    </xf>
    <xf numFmtId="0" fontId="6" fillId="0" borderId="17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10" fontId="2" fillId="0" borderId="1" xfId="2" applyNumberFormat="1" applyFont="1" applyBorder="1" applyAlignment="1">
      <alignment horizontal="center" vertical="center"/>
    </xf>
    <xf numFmtId="9" fontId="2" fillId="2" borderId="22" xfId="2" applyFont="1" applyFill="1" applyBorder="1" applyAlignment="1">
      <alignment horizontal="center" vertical="center"/>
    </xf>
    <xf numFmtId="9" fontId="2" fillId="2" borderId="13" xfId="2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indent="1"/>
    </xf>
    <xf numFmtId="0" fontId="2" fillId="0" borderId="23" xfId="0" applyFont="1" applyBorder="1" applyAlignment="1">
      <alignment horizontal="left" indent="1"/>
    </xf>
    <xf numFmtId="9" fontId="2" fillId="0" borderId="12" xfId="0" applyNumberFormat="1" applyFont="1" applyBorder="1" applyAlignment="1">
      <alignment horizontal="center" vertical="center"/>
    </xf>
    <xf numFmtId="9" fontId="2" fillId="0" borderId="24" xfId="0" applyNumberFormat="1" applyFont="1" applyBorder="1" applyAlignment="1">
      <alignment horizontal="center" vertical="center"/>
    </xf>
    <xf numFmtId="10" fontId="2" fillId="0" borderId="19" xfId="2" applyNumberFormat="1" applyFont="1" applyBorder="1" applyAlignment="1">
      <alignment horizontal="center" vertical="center"/>
    </xf>
    <xf numFmtId="44" fontId="2" fillId="2" borderId="21" xfId="1" applyFont="1" applyFill="1" applyBorder="1" applyAlignment="1">
      <alignment horizontal="center" vertical="center"/>
    </xf>
    <xf numFmtId="44" fontId="2" fillId="2" borderId="18" xfId="1" applyFont="1" applyFill="1" applyBorder="1" applyAlignment="1">
      <alignment horizontal="center" vertical="center"/>
    </xf>
    <xf numFmtId="9" fontId="2" fillId="2" borderId="18" xfId="2" applyFont="1" applyFill="1" applyBorder="1" applyAlignment="1">
      <alignment horizontal="center" vertical="center"/>
    </xf>
    <xf numFmtId="1" fontId="2" fillId="2" borderId="19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9" fontId="2" fillId="2" borderId="30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left" vertical="center" indent="1"/>
    </xf>
    <xf numFmtId="0" fontId="3" fillId="4" borderId="28" xfId="0" applyFont="1" applyFill="1" applyBorder="1" applyAlignment="1">
      <alignment horizontal="left" vertical="center" indent="1"/>
    </xf>
    <xf numFmtId="0" fontId="3" fillId="4" borderId="29" xfId="0" applyFont="1" applyFill="1" applyBorder="1" applyAlignment="1">
      <alignment horizontal="left" vertical="center" indent="1"/>
    </xf>
    <xf numFmtId="0" fontId="3" fillId="4" borderId="26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indent="1"/>
    </xf>
    <xf numFmtId="0" fontId="8" fillId="4" borderId="2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44" fontId="10" fillId="0" borderId="32" xfId="0" applyNumberFormat="1" applyFont="1" applyBorder="1" applyAlignment="1">
      <alignment horizontal="center" vertical="center"/>
    </xf>
    <xf numFmtId="10" fontId="10" fillId="0" borderId="32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4" fontId="5" fillId="0" borderId="3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44" fontId="0" fillId="0" borderId="32" xfId="0" applyNumberFormat="1" applyBorder="1" applyAlignment="1">
      <alignment horizontal="center" vertical="center"/>
    </xf>
    <xf numFmtId="44" fontId="9" fillId="0" borderId="32" xfId="0" applyNumberFormat="1" applyFont="1" applyBorder="1" applyAlignment="1">
      <alignment horizontal="center" vertical="center"/>
    </xf>
    <xf numFmtId="10" fontId="9" fillId="0" borderId="32" xfId="0" applyNumberFormat="1" applyFont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10" fillId="0" borderId="35" xfId="0" applyNumberFormat="1" applyFont="1" applyBorder="1" applyAlignment="1">
      <alignment horizontal="center" vertical="center"/>
    </xf>
    <xf numFmtId="9" fontId="2" fillId="0" borderId="6" xfId="2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4" borderId="2" xfId="0" applyFont="1" applyFill="1" applyBorder="1" applyAlignment="1">
      <alignment horizontal="left" indent="1"/>
    </xf>
    <xf numFmtId="10" fontId="2" fillId="2" borderId="3" xfId="2" applyNumberFormat="1" applyFont="1" applyFill="1" applyBorder="1" applyAlignment="1">
      <alignment horizontal="center"/>
    </xf>
    <xf numFmtId="10" fontId="2" fillId="3" borderId="3" xfId="2" applyNumberFormat="1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2" fillId="5" borderId="0" xfId="0" applyFont="1" applyFill="1" applyAlignment="1">
      <alignment horizontal="right" indent="1"/>
    </xf>
    <xf numFmtId="10" fontId="2" fillId="5" borderId="0" xfId="2" applyNumberFormat="1" applyFont="1" applyFill="1" applyAlignment="1">
      <alignment horizontal="left" indent="2"/>
    </xf>
    <xf numFmtId="0" fontId="3" fillId="4" borderId="0" xfId="0" applyFont="1" applyFill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9" fontId="12" fillId="5" borderId="37" xfId="0" applyNumberFormat="1" applyFont="1" applyFill="1" applyBorder="1" applyAlignment="1">
      <alignment horizontal="center" vertical="center"/>
    </xf>
    <xf numFmtId="44" fontId="12" fillId="5" borderId="0" xfId="0" applyNumberFormat="1" applyFont="1" applyFill="1" applyAlignment="1">
      <alignment horizontal="center" vertical="center"/>
    </xf>
    <xf numFmtId="44" fontId="13" fillId="5" borderId="0" xfId="0" applyNumberFormat="1" applyFont="1" applyFill="1"/>
    <xf numFmtId="44" fontId="13" fillId="5" borderId="0" xfId="1" applyFont="1" applyFill="1"/>
    <xf numFmtId="9" fontId="13" fillId="5" borderId="0" xfId="2" applyFont="1" applyFill="1"/>
    <xf numFmtId="0" fontId="11" fillId="5" borderId="2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6">
    <dxf>
      <font>
        <b/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medium">
          <color theme="0" tint="-0.14999847407452621"/>
        </left>
        <right style="medium">
          <color theme="0" tint="-0.14999847407452621"/>
        </right>
        <top style="medium">
          <color theme="0" tint="-0.14999847407452621"/>
        </top>
        <bottom style="medium">
          <color theme="0" tint="-0.14999847407452621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67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Alocação de ativos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Simulador!$C$12</c:f>
              <c:strCache>
                <c:ptCount val="1"/>
                <c:pt idx="0">
                  <c:v>Alocação</c:v>
                </c:pt>
              </c:strCache>
            </c:strRef>
          </c:tx>
          <c:explosion val="11"/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E33-4B20-AC70-7B51016B43C8}"/>
              </c:ext>
            </c:extLst>
          </c:dPt>
          <c:dPt>
            <c:idx val="1"/>
            <c:bubble3D val="0"/>
            <c:explosion val="21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E33-4B20-AC70-7B51016B43C8}"/>
              </c:ext>
            </c:extLst>
          </c:dPt>
          <c:dPt>
            <c:idx val="2"/>
            <c:bubble3D val="0"/>
            <c:explosion val="61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E33-4B20-AC70-7B51016B43C8}"/>
              </c:ext>
            </c:extLst>
          </c:dPt>
          <c:dPt>
            <c:idx val="3"/>
            <c:bubble3D val="0"/>
            <c:explosion val="33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E33-4B20-AC70-7B51016B43C8}"/>
              </c:ext>
            </c:extLst>
          </c:dPt>
          <c:dLbls>
            <c:dLbl>
              <c:idx val="0"/>
              <c:layout>
                <c:manualLayout>
                  <c:x val="-5.6106517935258192E-2"/>
                  <c:y val="9.36052785068533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33-4B20-AC70-7B51016B43C8}"/>
                </c:ext>
              </c:extLst>
            </c:dLbl>
            <c:dLbl>
              <c:idx val="1"/>
              <c:layout>
                <c:manualLayout>
                  <c:x val="-2.5977522040514325E-3"/>
                  <c:y val="7.799814355030164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33-4B20-AC70-7B51016B43C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33-4B20-AC70-7B51016B43C8}"/>
                </c:ext>
              </c:extLst>
            </c:dLbl>
            <c:dLbl>
              <c:idx val="3"/>
              <c:layout>
                <c:manualLayout>
                  <c:x val="0.24445723130762501"/>
                  <c:y val="-2.27493323494183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33-4B20-AC70-7B51016B43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Simulador!$B$13:$B$16</c:f>
              <c:strCache>
                <c:ptCount val="4"/>
                <c:pt idx="0">
                  <c:v>Liquidez</c:v>
                </c:pt>
                <c:pt idx="1">
                  <c:v>Renda Fixa Estratégica</c:v>
                </c:pt>
                <c:pt idx="2">
                  <c:v>Renda Variável Nacional</c:v>
                </c:pt>
                <c:pt idx="3">
                  <c:v>Internacional</c:v>
                </c:pt>
              </c:strCache>
            </c:strRef>
          </c:cat>
          <c:val>
            <c:numRef>
              <c:f>Simulador!$C$13:$C$16</c:f>
              <c:numCache>
                <c:formatCode>0%</c:formatCode>
                <c:ptCount val="4"/>
                <c:pt idx="0">
                  <c:v>0.6</c:v>
                </c:pt>
                <c:pt idx="1">
                  <c:v>0.3</c:v>
                </c:pt>
                <c:pt idx="2">
                  <c:v>0.05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33-4B20-AC70-7B51016B43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imulador!A1"/><Relationship Id="rId13" Type="http://schemas.openxmlformats.org/officeDocument/2006/relationships/image" Target="../media/image9.svg"/><Relationship Id="rId3" Type="http://schemas.openxmlformats.org/officeDocument/2006/relationships/image" Target="../media/image2.png"/><Relationship Id="rId7" Type="http://schemas.openxmlformats.org/officeDocument/2006/relationships/image" Target="../media/image5.svg"/><Relationship Id="rId12" Type="http://schemas.openxmlformats.org/officeDocument/2006/relationships/image" Target="../media/image8.png"/><Relationship Id="rId2" Type="http://schemas.openxmlformats.org/officeDocument/2006/relationships/hyperlink" Target="#Perfil!A1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11" Type="http://schemas.openxmlformats.org/officeDocument/2006/relationships/hyperlink" Target="#Painel!A1"/><Relationship Id="rId5" Type="http://schemas.openxmlformats.org/officeDocument/2006/relationships/hyperlink" Target="#Ativos!A1"/><Relationship Id="rId10" Type="http://schemas.openxmlformats.org/officeDocument/2006/relationships/image" Target="../media/image7.svg"/><Relationship Id="rId4" Type="http://schemas.openxmlformats.org/officeDocument/2006/relationships/image" Target="../media/image3.sv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svg"/><Relationship Id="rId7" Type="http://schemas.openxmlformats.org/officeDocument/2006/relationships/hyperlink" Target="#Simulador!A1"/><Relationship Id="rId12" Type="http://schemas.openxmlformats.org/officeDocument/2006/relationships/image" Target="../media/image9.svg"/><Relationship Id="rId2" Type="http://schemas.openxmlformats.org/officeDocument/2006/relationships/image" Target="../media/image2.png"/><Relationship Id="rId1" Type="http://schemas.openxmlformats.org/officeDocument/2006/relationships/hyperlink" Target="#Perfil!A1"/><Relationship Id="rId6" Type="http://schemas.openxmlformats.org/officeDocument/2006/relationships/image" Target="../media/image5.sv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hyperlink" Target="#Painel!A1"/><Relationship Id="rId4" Type="http://schemas.openxmlformats.org/officeDocument/2006/relationships/hyperlink" Target="#Ativos!A1"/><Relationship Id="rId9" Type="http://schemas.openxmlformats.org/officeDocument/2006/relationships/image" Target="../media/image7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svg"/><Relationship Id="rId7" Type="http://schemas.openxmlformats.org/officeDocument/2006/relationships/hyperlink" Target="#Simulador!A1"/><Relationship Id="rId12" Type="http://schemas.openxmlformats.org/officeDocument/2006/relationships/image" Target="../media/image9.svg"/><Relationship Id="rId2" Type="http://schemas.openxmlformats.org/officeDocument/2006/relationships/image" Target="../media/image2.png"/><Relationship Id="rId1" Type="http://schemas.openxmlformats.org/officeDocument/2006/relationships/hyperlink" Target="#Perfil!A1"/><Relationship Id="rId6" Type="http://schemas.openxmlformats.org/officeDocument/2006/relationships/image" Target="../media/image5.sv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hyperlink" Target="#Painel!A1"/><Relationship Id="rId4" Type="http://schemas.openxmlformats.org/officeDocument/2006/relationships/hyperlink" Target="#Ativos!A1"/><Relationship Id="rId9" Type="http://schemas.openxmlformats.org/officeDocument/2006/relationships/image" Target="../media/image7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hart" Target="../charts/chart1.xml"/><Relationship Id="rId3" Type="http://schemas.openxmlformats.org/officeDocument/2006/relationships/image" Target="../media/image3.svg"/><Relationship Id="rId7" Type="http://schemas.openxmlformats.org/officeDocument/2006/relationships/hyperlink" Target="#Simulador!A1"/><Relationship Id="rId12" Type="http://schemas.openxmlformats.org/officeDocument/2006/relationships/image" Target="../media/image9.svg"/><Relationship Id="rId2" Type="http://schemas.openxmlformats.org/officeDocument/2006/relationships/image" Target="../media/image2.png"/><Relationship Id="rId1" Type="http://schemas.openxmlformats.org/officeDocument/2006/relationships/hyperlink" Target="#Perfil!A1"/><Relationship Id="rId6" Type="http://schemas.openxmlformats.org/officeDocument/2006/relationships/image" Target="../media/image5.svg"/><Relationship Id="rId11" Type="http://schemas.openxmlformats.org/officeDocument/2006/relationships/image" Target="../media/image8.png"/><Relationship Id="rId5" Type="http://schemas.openxmlformats.org/officeDocument/2006/relationships/image" Target="../media/image4.png"/><Relationship Id="rId10" Type="http://schemas.openxmlformats.org/officeDocument/2006/relationships/hyperlink" Target="#Painel!A1"/><Relationship Id="rId4" Type="http://schemas.openxmlformats.org/officeDocument/2006/relationships/hyperlink" Target="#Ativos!A1"/><Relationship Id="rId9" Type="http://schemas.openxmlformats.org/officeDocument/2006/relationships/image" Target="../media/image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0</xdr:row>
      <xdr:rowOff>0</xdr:rowOff>
    </xdr:from>
    <xdr:to>
      <xdr:col>3</xdr:col>
      <xdr:colOff>0</xdr:colOff>
      <xdr:row>2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5EB771B-71FF-AAB9-B00E-857826823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0"/>
          <a:ext cx="4210050" cy="923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733425</xdr:colOff>
      <xdr:row>3</xdr:row>
      <xdr:rowOff>114300</xdr:rowOff>
    </xdr:to>
    <xdr:grpSp>
      <xdr:nvGrpSpPr>
        <xdr:cNvPr id="17" name="Perfi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B61BC6-3B43-31CD-F665-1988D5B05BC7}"/>
            </a:ext>
          </a:extLst>
        </xdr:cNvPr>
        <xdr:cNvGrpSpPr/>
      </xdr:nvGrpSpPr>
      <xdr:grpSpPr>
        <a:xfrm>
          <a:off x="0" y="190500"/>
          <a:ext cx="733425" cy="857250"/>
          <a:chOff x="0" y="190500"/>
          <a:chExt cx="733425" cy="857250"/>
        </a:xfrm>
      </xdr:grpSpPr>
      <xdr:pic>
        <xdr:nvPicPr>
          <xdr:cNvPr id="15" name="Gráfico 14" descr="Usuário com preenchimento sólido">
            <a:extLst>
              <a:ext uri="{FF2B5EF4-FFF2-40B4-BE49-F238E27FC236}">
                <a16:creationId xmlns:a16="http://schemas.microsoft.com/office/drawing/2014/main" id="{11C7758A-1216-B86C-85C9-C888B7C4FC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976B191F-1F96-C165-D520-17168C9FE618}"/>
              </a:ext>
            </a:extLst>
          </xdr:cNvPr>
          <xdr:cNvSpPr txBox="1"/>
        </xdr:nvSpPr>
        <xdr:spPr>
          <a:xfrm>
            <a:off x="104775" y="809625"/>
            <a:ext cx="504825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Albertus Medium" panose="020E0602030304020304" pitchFamily="34" charset="0"/>
              </a:rPr>
              <a:t>Perfil</a:t>
            </a:r>
          </a:p>
        </xdr:txBody>
      </xdr:sp>
    </xdr:grpSp>
    <xdr:clientData/>
  </xdr:twoCellAnchor>
  <xdr:twoCellAnchor>
    <xdr:from>
      <xdr:col>0</xdr:col>
      <xdr:colOff>0</xdr:colOff>
      <xdr:row>3</xdr:row>
      <xdr:rowOff>228600</xdr:rowOff>
    </xdr:from>
    <xdr:to>
      <xdr:col>0</xdr:col>
      <xdr:colOff>723900</xdr:colOff>
      <xdr:row>7</xdr:row>
      <xdr:rowOff>47625</xdr:rowOff>
    </xdr:to>
    <xdr:grpSp>
      <xdr:nvGrpSpPr>
        <xdr:cNvPr id="18" name="Ativ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ED2E86-7F51-4F5B-99B7-86E390E9A6E1}"/>
            </a:ext>
          </a:extLst>
        </xdr:cNvPr>
        <xdr:cNvGrpSpPr/>
      </xdr:nvGrpSpPr>
      <xdr:grpSpPr>
        <a:xfrm>
          <a:off x="0" y="1162050"/>
          <a:ext cx="723900" cy="819150"/>
          <a:chOff x="0" y="228600"/>
          <a:chExt cx="723900" cy="819150"/>
        </a:xfrm>
      </xdr:grpSpPr>
      <xdr:pic>
        <xdr:nvPicPr>
          <xdr:cNvPr id="19" name="Gráfico 18" descr="Dinheiro com preenchimento sólido">
            <a:extLst>
              <a:ext uri="{FF2B5EF4-FFF2-40B4-BE49-F238E27FC236}">
                <a16:creationId xmlns:a16="http://schemas.microsoft.com/office/drawing/2014/main" id="{439800D4-CA21-EDA0-B88C-D2681E20C2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/>
        </xdr:blipFill>
        <xdr:spPr>
          <a:xfrm>
            <a:off x="28575" y="228600"/>
            <a:ext cx="676275" cy="676275"/>
          </a:xfrm>
          <a:prstGeom prst="rect">
            <a:avLst/>
          </a:prstGeom>
        </xdr:spPr>
      </xdr:pic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8B958DDC-750C-5595-ACFB-65D23975FDCC}"/>
              </a:ext>
            </a:extLst>
          </xdr:cNvPr>
          <xdr:cNvSpPr txBox="1"/>
        </xdr:nvSpPr>
        <xdr:spPr>
          <a:xfrm>
            <a:off x="0" y="809625"/>
            <a:ext cx="723900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lbertus Medium" panose="020E0602030304020304" pitchFamily="34" charset="0"/>
              </a:rPr>
              <a:t>Ativos</a:t>
            </a:r>
          </a:p>
        </xdr:txBody>
      </xdr:sp>
    </xdr:grpSp>
    <xdr:clientData/>
  </xdr:twoCellAnchor>
  <xdr:twoCellAnchor>
    <xdr:from>
      <xdr:col>0</xdr:col>
      <xdr:colOff>0</xdr:colOff>
      <xdr:row>7</xdr:row>
      <xdr:rowOff>133350</xdr:rowOff>
    </xdr:from>
    <xdr:to>
      <xdr:col>0</xdr:col>
      <xdr:colOff>733425</xdr:colOff>
      <xdr:row>11</xdr:row>
      <xdr:rowOff>114300</xdr:rowOff>
    </xdr:to>
    <xdr:grpSp>
      <xdr:nvGrpSpPr>
        <xdr:cNvPr id="21" name="Simulado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36354E-B9F3-4959-828F-CC6184BD8B63}"/>
            </a:ext>
          </a:extLst>
        </xdr:cNvPr>
        <xdr:cNvGrpSpPr/>
      </xdr:nvGrpSpPr>
      <xdr:grpSpPr>
        <a:xfrm>
          <a:off x="0" y="2066925"/>
          <a:ext cx="733425" cy="857250"/>
          <a:chOff x="0" y="190500"/>
          <a:chExt cx="733425" cy="857250"/>
        </a:xfrm>
      </xdr:grpSpPr>
      <xdr:pic>
        <xdr:nvPicPr>
          <xdr:cNvPr id="22" name="Gráfico 21" descr="Calendário diário com preenchimento sólido">
            <a:extLst>
              <a:ext uri="{FF2B5EF4-FFF2-40B4-BE49-F238E27FC236}">
                <a16:creationId xmlns:a16="http://schemas.microsoft.com/office/drawing/2014/main" id="{5A3E2BA7-6DE8-5C77-7211-4A47ADFFF4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/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BABFFC26-901A-6A49-589E-3E6B9F8DCE7E}"/>
              </a:ext>
            </a:extLst>
          </xdr:cNvPr>
          <xdr:cNvSpPr txBox="1"/>
        </xdr:nvSpPr>
        <xdr:spPr>
          <a:xfrm>
            <a:off x="19050" y="809625"/>
            <a:ext cx="714375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900" b="1">
                <a:latin typeface="Albertus Medium" panose="020E0602030304020304" pitchFamily="34" charset="0"/>
              </a:rPr>
              <a:t>Simulador</a:t>
            </a:r>
          </a:p>
        </xdr:txBody>
      </xdr:sp>
    </xdr:grpSp>
    <xdr:clientData/>
  </xdr:twoCellAnchor>
  <xdr:twoCellAnchor>
    <xdr:from>
      <xdr:col>0</xdr:col>
      <xdr:colOff>0</xdr:colOff>
      <xdr:row>11</xdr:row>
      <xdr:rowOff>161925</xdr:rowOff>
    </xdr:from>
    <xdr:to>
      <xdr:col>0</xdr:col>
      <xdr:colOff>733425</xdr:colOff>
      <xdr:row>13</xdr:row>
      <xdr:rowOff>581025</xdr:rowOff>
    </xdr:to>
    <xdr:grpSp>
      <xdr:nvGrpSpPr>
        <xdr:cNvPr id="24" name="Agrupar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0E9DD1D-FC69-4772-854F-5D6044D03530}"/>
            </a:ext>
          </a:extLst>
        </xdr:cNvPr>
        <xdr:cNvGrpSpPr/>
      </xdr:nvGrpSpPr>
      <xdr:grpSpPr>
        <a:xfrm>
          <a:off x="0" y="2971800"/>
          <a:ext cx="733425" cy="857250"/>
          <a:chOff x="0" y="190500"/>
          <a:chExt cx="733425" cy="857250"/>
        </a:xfrm>
      </xdr:grpSpPr>
      <xdr:pic>
        <xdr:nvPicPr>
          <xdr:cNvPr id="25" name="Gráfico 24" descr="Gráfico de barras com preenchimento sólido">
            <a:extLst>
              <a:ext uri="{FF2B5EF4-FFF2-40B4-BE49-F238E27FC236}">
                <a16:creationId xmlns:a16="http://schemas.microsoft.com/office/drawing/2014/main" id="{512E1260-7AF0-E7AB-AE5F-79188617AD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26" name="CaixaDeTexto 25">
            <a:extLst>
              <a:ext uri="{FF2B5EF4-FFF2-40B4-BE49-F238E27FC236}">
                <a16:creationId xmlns:a16="http://schemas.microsoft.com/office/drawing/2014/main" id="{4A56D8C3-1290-633F-ADCB-2304409EF1AB}"/>
              </a:ext>
            </a:extLst>
          </xdr:cNvPr>
          <xdr:cNvSpPr txBox="1"/>
        </xdr:nvSpPr>
        <xdr:spPr>
          <a:xfrm>
            <a:off x="57151" y="809625"/>
            <a:ext cx="647700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lbertus Medium" panose="020E0602030304020304" pitchFamily="34" charset="0"/>
              </a:rPr>
              <a:t>Painel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742950</xdr:colOff>
      <xdr:row>13</xdr:row>
      <xdr:rowOff>838200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783AC03E-61A8-49CB-B8EA-D10448BEA5C3}"/>
            </a:ext>
          </a:extLst>
        </xdr:cNvPr>
        <xdr:cNvSpPr/>
      </xdr:nvSpPr>
      <xdr:spPr>
        <a:xfrm>
          <a:off x="0" y="9525"/>
          <a:ext cx="742950" cy="4076700"/>
        </a:xfrm>
        <a:prstGeom prst="rect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0</xdr:rowOff>
    </xdr:from>
    <xdr:to>
      <xdr:col>0</xdr:col>
      <xdr:colOff>771525</xdr:colOff>
      <xdr:row>5</xdr:row>
      <xdr:rowOff>38100</xdr:rowOff>
    </xdr:to>
    <xdr:grpSp>
      <xdr:nvGrpSpPr>
        <xdr:cNvPr id="14" name="Perfi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9216E3-C4D6-4341-982C-20647F4EF22D}"/>
            </a:ext>
          </a:extLst>
        </xdr:cNvPr>
        <xdr:cNvGrpSpPr/>
      </xdr:nvGrpSpPr>
      <xdr:grpSpPr>
        <a:xfrm>
          <a:off x="38100" y="190500"/>
          <a:ext cx="733425" cy="857250"/>
          <a:chOff x="0" y="190500"/>
          <a:chExt cx="733425" cy="857250"/>
        </a:xfrm>
      </xdr:grpSpPr>
      <xdr:pic>
        <xdr:nvPicPr>
          <xdr:cNvPr id="15" name="Gráfico 14" descr="Usuário com preenchimento sólido">
            <a:extLst>
              <a:ext uri="{FF2B5EF4-FFF2-40B4-BE49-F238E27FC236}">
                <a16:creationId xmlns:a16="http://schemas.microsoft.com/office/drawing/2014/main" id="{BF964997-3DC1-42E9-7E2F-62204575BC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6CC4AA5B-17D4-1EA0-37DC-FC838E7554D2}"/>
              </a:ext>
            </a:extLst>
          </xdr:cNvPr>
          <xdr:cNvSpPr txBox="1"/>
        </xdr:nvSpPr>
        <xdr:spPr>
          <a:xfrm>
            <a:off x="104775" y="809625"/>
            <a:ext cx="504825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Albertus Medium" panose="020E0602030304020304" pitchFamily="34" charset="0"/>
              </a:rPr>
              <a:t>Perfil</a:t>
            </a:r>
          </a:p>
        </xdr:txBody>
      </xdr:sp>
    </xdr:grpSp>
    <xdr:clientData/>
  </xdr:twoCellAnchor>
  <xdr:twoCellAnchor>
    <xdr:from>
      <xdr:col>0</xdr:col>
      <xdr:colOff>38100</xdr:colOff>
      <xdr:row>5</xdr:row>
      <xdr:rowOff>152400</xdr:rowOff>
    </xdr:from>
    <xdr:to>
      <xdr:col>0</xdr:col>
      <xdr:colOff>762000</xdr:colOff>
      <xdr:row>6</xdr:row>
      <xdr:rowOff>428625</xdr:rowOff>
    </xdr:to>
    <xdr:grpSp>
      <xdr:nvGrpSpPr>
        <xdr:cNvPr id="17" name="Ativo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913CDA-684E-4A58-950F-FAF0C1001B1C}"/>
            </a:ext>
          </a:extLst>
        </xdr:cNvPr>
        <xdr:cNvGrpSpPr/>
      </xdr:nvGrpSpPr>
      <xdr:grpSpPr>
        <a:xfrm>
          <a:off x="38100" y="1162050"/>
          <a:ext cx="723900" cy="819150"/>
          <a:chOff x="0" y="228600"/>
          <a:chExt cx="723900" cy="819150"/>
        </a:xfrm>
      </xdr:grpSpPr>
      <xdr:pic>
        <xdr:nvPicPr>
          <xdr:cNvPr id="18" name="Gráfico 17" descr="Dinheiro com preenchimento sólido">
            <a:extLst>
              <a:ext uri="{FF2B5EF4-FFF2-40B4-BE49-F238E27FC236}">
                <a16:creationId xmlns:a16="http://schemas.microsoft.com/office/drawing/2014/main" id="{92A10775-BE8C-2692-92E6-77D1602C2F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28575" y="228600"/>
            <a:ext cx="676275" cy="676275"/>
          </a:xfrm>
          <a:prstGeom prst="rect">
            <a:avLst/>
          </a:prstGeom>
        </xdr:spPr>
      </xdr:pic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37EA1C7B-2A0F-6B0E-FC8B-86EE8C048FA3}"/>
              </a:ext>
            </a:extLst>
          </xdr:cNvPr>
          <xdr:cNvSpPr txBox="1"/>
        </xdr:nvSpPr>
        <xdr:spPr>
          <a:xfrm>
            <a:off x="0" y="809625"/>
            <a:ext cx="723900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lbertus Medium" panose="020E0602030304020304" pitchFamily="34" charset="0"/>
              </a:rPr>
              <a:t>Ativos</a:t>
            </a:r>
          </a:p>
        </xdr:txBody>
      </xdr:sp>
    </xdr:grpSp>
    <xdr:clientData/>
  </xdr:twoCellAnchor>
  <xdr:twoCellAnchor>
    <xdr:from>
      <xdr:col>0</xdr:col>
      <xdr:colOff>38100</xdr:colOff>
      <xdr:row>6</xdr:row>
      <xdr:rowOff>514350</xdr:rowOff>
    </xdr:from>
    <xdr:to>
      <xdr:col>0</xdr:col>
      <xdr:colOff>771525</xdr:colOff>
      <xdr:row>7</xdr:row>
      <xdr:rowOff>647700</xdr:rowOff>
    </xdr:to>
    <xdr:grpSp>
      <xdr:nvGrpSpPr>
        <xdr:cNvPr id="20" name="Simulado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629C887-6CBE-4701-B86F-081B103506A3}"/>
            </a:ext>
          </a:extLst>
        </xdr:cNvPr>
        <xdr:cNvGrpSpPr/>
      </xdr:nvGrpSpPr>
      <xdr:grpSpPr>
        <a:xfrm>
          <a:off x="38100" y="2066925"/>
          <a:ext cx="733425" cy="857250"/>
          <a:chOff x="0" y="190500"/>
          <a:chExt cx="733425" cy="857250"/>
        </a:xfrm>
      </xdr:grpSpPr>
      <xdr:pic>
        <xdr:nvPicPr>
          <xdr:cNvPr id="21" name="Gráfico 20" descr="Calendário diário com preenchimento sólido">
            <a:extLst>
              <a:ext uri="{FF2B5EF4-FFF2-40B4-BE49-F238E27FC236}">
                <a16:creationId xmlns:a16="http://schemas.microsoft.com/office/drawing/2014/main" id="{E789C766-5A8B-3590-2EC3-3954562A70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rcRect/>
          <a:stretch/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54FC994B-920A-0C82-FD76-1CC3600112B6}"/>
              </a:ext>
            </a:extLst>
          </xdr:cNvPr>
          <xdr:cNvSpPr txBox="1"/>
        </xdr:nvSpPr>
        <xdr:spPr>
          <a:xfrm>
            <a:off x="19050" y="809625"/>
            <a:ext cx="714375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900" b="1">
                <a:latin typeface="Albertus Medium" panose="020E0602030304020304" pitchFamily="34" charset="0"/>
              </a:rPr>
              <a:t>Simulador</a:t>
            </a:r>
          </a:p>
        </xdr:txBody>
      </xdr:sp>
    </xdr:grpSp>
    <xdr:clientData/>
  </xdr:twoCellAnchor>
  <xdr:twoCellAnchor>
    <xdr:from>
      <xdr:col>0</xdr:col>
      <xdr:colOff>38100</xdr:colOff>
      <xdr:row>7</xdr:row>
      <xdr:rowOff>695325</xdr:rowOff>
    </xdr:from>
    <xdr:to>
      <xdr:col>0</xdr:col>
      <xdr:colOff>771525</xdr:colOff>
      <xdr:row>9</xdr:row>
      <xdr:rowOff>95250</xdr:rowOff>
    </xdr:to>
    <xdr:grpSp>
      <xdr:nvGrpSpPr>
        <xdr:cNvPr id="23" name="Agrupar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883D48B-0A8C-43F3-932F-57F94FB2A555}"/>
            </a:ext>
          </a:extLst>
        </xdr:cNvPr>
        <xdr:cNvGrpSpPr/>
      </xdr:nvGrpSpPr>
      <xdr:grpSpPr>
        <a:xfrm>
          <a:off x="38100" y="2971800"/>
          <a:ext cx="733425" cy="857250"/>
          <a:chOff x="0" y="190500"/>
          <a:chExt cx="733425" cy="857250"/>
        </a:xfrm>
      </xdr:grpSpPr>
      <xdr:pic>
        <xdr:nvPicPr>
          <xdr:cNvPr id="24" name="Gráfico 23" descr="Gráfico de barras com preenchimento sólido">
            <a:extLst>
              <a:ext uri="{FF2B5EF4-FFF2-40B4-BE49-F238E27FC236}">
                <a16:creationId xmlns:a16="http://schemas.microsoft.com/office/drawing/2014/main" id="{8DB1267F-7481-76B8-1D46-3D0027152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rcRect/>
          <a:stretch/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25" name="CaixaDeTexto 24">
            <a:extLst>
              <a:ext uri="{FF2B5EF4-FFF2-40B4-BE49-F238E27FC236}">
                <a16:creationId xmlns:a16="http://schemas.microsoft.com/office/drawing/2014/main" id="{91E74F53-9386-15B0-197B-216827AD306D}"/>
              </a:ext>
            </a:extLst>
          </xdr:cNvPr>
          <xdr:cNvSpPr txBox="1"/>
        </xdr:nvSpPr>
        <xdr:spPr>
          <a:xfrm>
            <a:off x="57151" y="809625"/>
            <a:ext cx="647700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lbertus Medium" panose="020E0602030304020304" pitchFamily="34" charset="0"/>
              </a:rPr>
              <a:t>Painel</a:t>
            </a:r>
          </a:p>
        </xdr:txBody>
      </xdr:sp>
    </xdr:grpSp>
    <xdr:clientData/>
  </xdr:twoCellAnchor>
  <xdr:twoCellAnchor>
    <xdr:from>
      <xdr:col>0</xdr:col>
      <xdr:colOff>28575</xdr:colOff>
      <xdr:row>0</xdr:row>
      <xdr:rowOff>0</xdr:rowOff>
    </xdr:from>
    <xdr:to>
      <xdr:col>0</xdr:col>
      <xdr:colOff>847725</xdr:colOff>
      <xdr:row>10</xdr:row>
      <xdr:rowOff>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997A43C5-CD9F-4FBC-BFA3-9BB8CBE53ACC}"/>
            </a:ext>
          </a:extLst>
        </xdr:cNvPr>
        <xdr:cNvSpPr/>
      </xdr:nvSpPr>
      <xdr:spPr>
        <a:xfrm>
          <a:off x="28575" y="0"/>
          <a:ext cx="819150" cy="3924300"/>
        </a:xfrm>
        <a:prstGeom prst="rect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123825</xdr:rowOff>
    </xdr:from>
    <xdr:to>
      <xdr:col>6</xdr:col>
      <xdr:colOff>1009650</xdr:colOff>
      <xdr:row>4</xdr:row>
      <xdr:rowOff>152400</xdr:rowOff>
    </xdr:to>
    <xdr:grpSp>
      <xdr:nvGrpSpPr>
        <xdr:cNvPr id="2" name="Perfi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8C6E55-EE27-4DE3-BE8C-311D3CAE62DE}"/>
            </a:ext>
          </a:extLst>
        </xdr:cNvPr>
        <xdr:cNvGrpSpPr/>
      </xdr:nvGrpSpPr>
      <xdr:grpSpPr>
        <a:xfrm>
          <a:off x="6781800" y="123825"/>
          <a:ext cx="733425" cy="857250"/>
          <a:chOff x="0" y="190500"/>
          <a:chExt cx="733425" cy="857250"/>
        </a:xfrm>
      </xdr:grpSpPr>
      <xdr:pic>
        <xdr:nvPicPr>
          <xdr:cNvPr id="3" name="Gráfico 2" descr="Usuário com preenchimento sólido">
            <a:extLst>
              <a:ext uri="{FF2B5EF4-FFF2-40B4-BE49-F238E27FC236}">
                <a16:creationId xmlns:a16="http://schemas.microsoft.com/office/drawing/2014/main" id="{ED505C12-616B-8A26-7864-ACD8C5A0F2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B711A67A-D3B5-24CB-6B2C-566FA469C987}"/>
              </a:ext>
            </a:extLst>
          </xdr:cNvPr>
          <xdr:cNvSpPr txBox="1"/>
        </xdr:nvSpPr>
        <xdr:spPr>
          <a:xfrm>
            <a:off x="104775" y="809625"/>
            <a:ext cx="504825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Albertus Medium" panose="020E0602030304020304" pitchFamily="34" charset="0"/>
              </a:rPr>
              <a:t>Perfil</a:t>
            </a:r>
          </a:p>
        </xdr:txBody>
      </xdr:sp>
    </xdr:grpSp>
    <xdr:clientData/>
  </xdr:twoCellAnchor>
  <xdr:twoCellAnchor>
    <xdr:from>
      <xdr:col>6</xdr:col>
      <xdr:colOff>276225</xdr:colOff>
      <xdr:row>5</xdr:row>
      <xdr:rowOff>47625</xdr:rowOff>
    </xdr:from>
    <xdr:to>
      <xdr:col>6</xdr:col>
      <xdr:colOff>1000125</xdr:colOff>
      <xdr:row>9</xdr:row>
      <xdr:rowOff>38100</xdr:rowOff>
    </xdr:to>
    <xdr:grpSp>
      <xdr:nvGrpSpPr>
        <xdr:cNvPr id="5" name="Ativo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E2BB24-6207-4A52-97DD-88A0D7716F0D}"/>
            </a:ext>
          </a:extLst>
        </xdr:cNvPr>
        <xdr:cNvGrpSpPr/>
      </xdr:nvGrpSpPr>
      <xdr:grpSpPr>
        <a:xfrm>
          <a:off x="6781800" y="1095375"/>
          <a:ext cx="723900" cy="819150"/>
          <a:chOff x="0" y="228600"/>
          <a:chExt cx="723900" cy="819150"/>
        </a:xfrm>
      </xdr:grpSpPr>
      <xdr:pic>
        <xdr:nvPicPr>
          <xdr:cNvPr id="6" name="Gráfico 5" descr="Dinheiro com preenchimento sólido">
            <a:extLst>
              <a:ext uri="{FF2B5EF4-FFF2-40B4-BE49-F238E27FC236}">
                <a16:creationId xmlns:a16="http://schemas.microsoft.com/office/drawing/2014/main" id="{C3A9AD6C-622A-BDD8-B06C-9BB4E0F5AB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28575" y="228600"/>
            <a:ext cx="676275" cy="676275"/>
          </a:xfrm>
          <a:prstGeom prst="rect">
            <a:avLst/>
          </a:prstGeom>
        </xdr:spPr>
      </xdr:pic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4098425E-4639-0054-58FE-E01FE6658A0B}"/>
              </a:ext>
            </a:extLst>
          </xdr:cNvPr>
          <xdr:cNvSpPr txBox="1"/>
        </xdr:nvSpPr>
        <xdr:spPr>
          <a:xfrm>
            <a:off x="0" y="809625"/>
            <a:ext cx="723900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lbertus Medium" panose="020E0602030304020304" pitchFamily="34" charset="0"/>
              </a:rPr>
              <a:t>Ativos</a:t>
            </a:r>
          </a:p>
        </xdr:txBody>
      </xdr:sp>
    </xdr:grpSp>
    <xdr:clientData/>
  </xdr:twoCellAnchor>
  <xdr:twoCellAnchor>
    <xdr:from>
      <xdr:col>6</xdr:col>
      <xdr:colOff>276225</xdr:colOff>
      <xdr:row>9</xdr:row>
      <xdr:rowOff>123825</xdr:rowOff>
    </xdr:from>
    <xdr:to>
      <xdr:col>6</xdr:col>
      <xdr:colOff>1009650</xdr:colOff>
      <xdr:row>12</xdr:row>
      <xdr:rowOff>123825</xdr:rowOff>
    </xdr:to>
    <xdr:grpSp>
      <xdr:nvGrpSpPr>
        <xdr:cNvPr id="8" name="Simulado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E91E679-25F0-4EA2-B624-C379955F7A36}"/>
            </a:ext>
          </a:extLst>
        </xdr:cNvPr>
        <xdr:cNvGrpSpPr/>
      </xdr:nvGrpSpPr>
      <xdr:grpSpPr>
        <a:xfrm>
          <a:off x="6781800" y="2000250"/>
          <a:ext cx="733425" cy="857250"/>
          <a:chOff x="0" y="190500"/>
          <a:chExt cx="733425" cy="857250"/>
        </a:xfrm>
      </xdr:grpSpPr>
      <xdr:pic>
        <xdr:nvPicPr>
          <xdr:cNvPr id="9" name="Gráfico 8" descr="Calendário diário com preenchimento sólido">
            <a:extLst>
              <a:ext uri="{FF2B5EF4-FFF2-40B4-BE49-F238E27FC236}">
                <a16:creationId xmlns:a16="http://schemas.microsoft.com/office/drawing/2014/main" id="{7651EBF8-22FE-DDA0-23F5-B5EE832C9B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rcRect/>
          <a:stretch/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3BDA4AEF-7C2A-8FC3-3B35-A1B0DCF8790A}"/>
              </a:ext>
            </a:extLst>
          </xdr:cNvPr>
          <xdr:cNvSpPr txBox="1"/>
        </xdr:nvSpPr>
        <xdr:spPr>
          <a:xfrm>
            <a:off x="19050" y="809625"/>
            <a:ext cx="714375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900" b="1">
                <a:latin typeface="Albertus Medium" panose="020E0602030304020304" pitchFamily="34" charset="0"/>
              </a:rPr>
              <a:t>Simulador</a:t>
            </a:r>
          </a:p>
        </xdr:txBody>
      </xdr:sp>
    </xdr:grpSp>
    <xdr:clientData/>
  </xdr:twoCellAnchor>
  <xdr:twoCellAnchor>
    <xdr:from>
      <xdr:col>6</xdr:col>
      <xdr:colOff>276225</xdr:colOff>
      <xdr:row>12</xdr:row>
      <xdr:rowOff>171450</xdr:rowOff>
    </xdr:from>
    <xdr:to>
      <xdr:col>6</xdr:col>
      <xdr:colOff>1009650</xdr:colOff>
      <xdr:row>16</xdr:row>
      <xdr:rowOff>180975</xdr:rowOff>
    </xdr:to>
    <xdr:grpSp>
      <xdr:nvGrpSpPr>
        <xdr:cNvPr id="11" name="Agrupar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DFA609C-00B9-442E-80A4-EEF72C25322C}"/>
            </a:ext>
          </a:extLst>
        </xdr:cNvPr>
        <xdr:cNvGrpSpPr/>
      </xdr:nvGrpSpPr>
      <xdr:grpSpPr>
        <a:xfrm>
          <a:off x="6781800" y="2905125"/>
          <a:ext cx="733425" cy="857250"/>
          <a:chOff x="0" y="190500"/>
          <a:chExt cx="733425" cy="857250"/>
        </a:xfrm>
      </xdr:grpSpPr>
      <xdr:pic>
        <xdr:nvPicPr>
          <xdr:cNvPr id="12" name="Gráfico 11" descr="Gráfico de barras com preenchimento sólido">
            <a:extLst>
              <a:ext uri="{FF2B5EF4-FFF2-40B4-BE49-F238E27FC236}">
                <a16:creationId xmlns:a16="http://schemas.microsoft.com/office/drawing/2014/main" id="{A3BEE790-81BE-E41F-41C3-7BB269729A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rcRect/>
          <a:stretch/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4E6BE47F-0B62-04E7-2D29-176B8A9E3B22}"/>
              </a:ext>
            </a:extLst>
          </xdr:cNvPr>
          <xdr:cNvSpPr txBox="1"/>
        </xdr:nvSpPr>
        <xdr:spPr>
          <a:xfrm>
            <a:off x="57151" y="809625"/>
            <a:ext cx="647700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lbertus Medium" panose="020E0602030304020304" pitchFamily="34" charset="0"/>
              </a:rPr>
              <a:t>Painel</a:t>
            </a:r>
          </a:p>
        </xdr:txBody>
      </xdr:sp>
    </xdr:grpSp>
    <xdr:clientData/>
  </xdr:twoCellAnchor>
  <xdr:twoCellAnchor>
    <xdr:from>
      <xdr:col>6</xdr:col>
      <xdr:colOff>161925</xdr:colOff>
      <xdr:row>0</xdr:row>
      <xdr:rowOff>0</xdr:rowOff>
    </xdr:from>
    <xdr:to>
      <xdr:col>7</xdr:col>
      <xdr:colOff>0</xdr:colOff>
      <xdr:row>17</xdr:row>
      <xdr:rowOff>180975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B3409E09-75AE-B2EF-6955-2D34260479A3}"/>
            </a:ext>
          </a:extLst>
        </xdr:cNvPr>
        <xdr:cNvSpPr/>
      </xdr:nvSpPr>
      <xdr:spPr>
        <a:xfrm>
          <a:off x="6667500" y="0"/>
          <a:ext cx="895350" cy="3952875"/>
        </a:xfrm>
        <a:prstGeom prst="rect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123825</xdr:rowOff>
    </xdr:from>
    <xdr:to>
      <xdr:col>1</xdr:col>
      <xdr:colOff>238125</xdr:colOff>
      <xdr:row>5</xdr:row>
      <xdr:rowOff>28575</xdr:rowOff>
    </xdr:to>
    <xdr:grpSp>
      <xdr:nvGrpSpPr>
        <xdr:cNvPr id="2" name="Perfi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177B84-B02C-4C19-8EA9-ABCE366007A8}"/>
            </a:ext>
          </a:extLst>
        </xdr:cNvPr>
        <xdr:cNvGrpSpPr/>
      </xdr:nvGrpSpPr>
      <xdr:grpSpPr>
        <a:xfrm>
          <a:off x="114300" y="123825"/>
          <a:ext cx="733425" cy="857250"/>
          <a:chOff x="0" y="190500"/>
          <a:chExt cx="733425" cy="857250"/>
        </a:xfrm>
      </xdr:grpSpPr>
      <xdr:pic>
        <xdr:nvPicPr>
          <xdr:cNvPr id="3" name="Gráfico 2" descr="Usuário com preenchimento sólido">
            <a:extLst>
              <a:ext uri="{FF2B5EF4-FFF2-40B4-BE49-F238E27FC236}">
                <a16:creationId xmlns:a16="http://schemas.microsoft.com/office/drawing/2014/main" id="{5CD199FA-8CFB-3CF3-9B41-4183A9666E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3C397807-27E9-6716-9777-222F5586136E}"/>
              </a:ext>
            </a:extLst>
          </xdr:cNvPr>
          <xdr:cNvSpPr txBox="1"/>
        </xdr:nvSpPr>
        <xdr:spPr>
          <a:xfrm>
            <a:off x="104775" y="809625"/>
            <a:ext cx="504825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Albertus Medium" panose="020E0602030304020304" pitchFamily="34" charset="0"/>
              </a:rPr>
              <a:t>Perfil</a:t>
            </a:r>
          </a:p>
        </xdr:txBody>
      </xdr:sp>
    </xdr:grpSp>
    <xdr:clientData/>
  </xdr:twoCellAnchor>
  <xdr:twoCellAnchor>
    <xdr:from>
      <xdr:col>0</xdr:col>
      <xdr:colOff>114300</xdr:colOff>
      <xdr:row>5</xdr:row>
      <xdr:rowOff>142875</xdr:rowOff>
    </xdr:from>
    <xdr:to>
      <xdr:col>1</xdr:col>
      <xdr:colOff>228600</xdr:colOff>
      <xdr:row>10</xdr:row>
      <xdr:rowOff>9525</xdr:rowOff>
    </xdr:to>
    <xdr:grpSp>
      <xdr:nvGrpSpPr>
        <xdr:cNvPr id="5" name="Ativo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6F7C9B-3CEB-4864-B072-BA5BC16C3391}"/>
            </a:ext>
          </a:extLst>
        </xdr:cNvPr>
        <xdr:cNvGrpSpPr/>
      </xdr:nvGrpSpPr>
      <xdr:grpSpPr>
        <a:xfrm>
          <a:off x="114300" y="1095375"/>
          <a:ext cx="723900" cy="819150"/>
          <a:chOff x="0" y="228600"/>
          <a:chExt cx="723900" cy="819150"/>
        </a:xfrm>
      </xdr:grpSpPr>
      <xdr:pic>
        <xdr:nvPicPr>
          <xdr:cNvPr id="6" name="Gráfico 5" descr="Dinheiro com preenchimento sólido">
            <a:extLst>
              <a:ext uri="{FF2B5EF4-FFF2-40B4-BE49-F238E27FC236}">
                <a16:creationId xmlns:a16="http://schemas.microsoft.com/office/drawing/2014/main" id="{3CB5CFEF-3AD4-2D7E-E44C-BB7CFEED6A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28575" y="228600"/>
            <a:ext cx="676275" cy="676275"/>
          </a:xfrm>
          <a:prstGeom prst="rect">
            <a:avLst/>
          </a:prstGeom>
        </xdr:spPr>
      </xdr:pic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2870C509-0E63-B512-037A-11423EC5317C}"/>
              </a:ext>
            </a:extLst>
          </xdr:cNvPr>
          <xdr:cNvSpPr txBox="1"/>
        </xdr:nvSpPr>
        <xdr:spPr>
          <a:xfrm>
            <a:off x="0" y="809625"/>
            <a:ext cx="723900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lbertus Medium" panose="020E0602030304020304" pitchFamily="34" charset="0"/>
              </a:rPr>
              <a:t>Ativos</a:t>
            </a:r>
          </a:p>
        </xdr:txBody>
      </xdr:sp>
    </xdr:grpSp>
    <xdr:clientData/>
  </xdr:twoCellAnchor>
  <xdr:twoCellAnchor>
    <xdr:from>
      <xdr:col>0</xdr:col>
      <xdr:colOff>114300</xdr:colOff>
      <xdr:row>10</xdr:row>
      <xdr:rowOff>95250</xdr:rowOff>
    </xdr:from>
    <xdr:to>
      <xdr:col>1</xdr:col>
      <xdr:colOff>238125</xdr:colOff>
      <xdr:row>15</xdr:row>
      <xdr:rowOff>0</xdr:rowOff>
    </xdr:to>
    <xdr:grpSp>
      <xdr:nvGrpSpPr>
        <xdr:cNvPr id="8" name="Simulado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EBF924B-809C-4E0D-A850-1AAAEF7EE717}"/>
            </a:ext>
          </a:extLst>
        </xdr:cNvPr>
        <xdr:cNvGrpSpPr/>
      </xdr:nvGrpSpPr>
      <xdr:grpSpPr>
        <a:xfrm>
          <a:off x="114300" y="2000250"/>
          <a:ext cx="733425" cy="1000125"/>
          <a:chOff x="0" y="190500"/>
          <a:chExt cx="733425" cy="857250"/>
        </a:xfrm>
      </xdr:grpSpPr>
      <xdr:pic>
        <xdr:nvPicPr>
          <xdr:cNvPr id="9" name="Gráfico 8" descr="Calendário diário com preenchimento sólido">
            <a:extLst>
              <a:ext uri="{FF2B5EF4-FFF2-40B4-BE49-F238E27FC236}">
                <a16:creationId xmlns:a16="http://schemas.microsoft.com/office/drawing/2014/main" id="{A931E7E9-2387-BD5F-A37C-F5D9D978EE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rcRect/>
          <a:stretch/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75295B44-BFE1-AA6C-87FE-944ED963DB7C}"/>
              </a:ext>
            </a:extLst>
          </xdr:cNvPr>
          <xdr:cNvSpPr txBox="1"/>
        </xdr:nvSpPr>
        <xdr:spPr>
          <a:xfrm>
            <a:off x="19050" y="809625"/>
            <a:ext cx="714375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900" b="1">
                <a:latin typeface="Albertus Medium" panose="020E0602030304020304" pitchFamily="34" charset="0"/>
              </a:rPr>
              <a:t>Simulador</a:t>
            </a:r>
          </a:p>
        </xdr:txBody>
      </xdr:sp>
    </xdr:grpSp>
    <xdr:clientData/>
  </xdr:twoCellAnchor>
  <xdr:twoCellAnchor>
    <xdr:from>
      <xdr:col>0</xdr:col>
      <xdr:colOff>114300</xdr:colOff>
      <xdr:row>15</xdr:row>
      <xdr:rowOff>47625</xdr:rowOff>
    </xdr:from>
    <xdr:to>
      <xdr:col>1</xdr:col>
      <xdr:colOff>238125</xdr:colOff>
      <xdr:row>19</xdr:row>
      <xdr:rowOff>142875</xdr:rowOff>
    </xdr:to>
    <xdr:grpSp>
      <xdr:nvGrpSpPr>
        <xdr:cNvPr id="11" name="Agrupar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1782A4-4E1D-4943-A60C-3AABC02B0750}"/>
            </a:ext>
          </a:extLst>
        </xdr:cNvPr>
        <xdr:cNvGrpSpPr/>
      </xdr:nvGrpSpPr>
      <xdr:grpSpPr>
        <a:xfrm>
          <a:off x="114300" y="3048000"/>
          <a:ext cx="733425" cy="857250"/>
          <a:chOff x="0" y="190500"/>
          <a:chExt cx="733425" cy="857250"/>
        </a:xfrm>
      </xdr:grpSpPr>
      <xdr:pic>
        <xdr:nvPicPr>
          <xdr:cNvPr id="12" name="Gráfico 11" descr="Gráfico de barras com preenchimento sólido">
            <a:extLst>
              <a:ext uri="{FF2B5EF4-FFF2-40B4-BE49-F238E27FC236}">
                <a16:creationId xmlns:a16="http://schemas.microsoft.com/office/drawing/2014/main" id="{90DFD71A-1285-8F32-9DA3-5E5DCD242A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rcRect/>
          <a:stretch/>
        </xdr:blipFill>
        <xdr:spPr>
          <a:xfrm>
            <a:off x="0" y="190500"/>
            <a:ext cx="733425" cy="733425"/>
          </a:xfrm>
          <a:prstGeom prst="rect">
            <a:avLst/>
          </a:prstGeom>
        </xdr:spPr>
      </xdr:pic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9F411E30-0B7E-0E64-2AF7-EA65D24DB34E}"/>
              </a:ext>
            </a:extLst>
          </xdr:cNvPr>
          <xdr:cNvSpPr txBox="1"/>
        </xdr:nvSpPr>
        <xdr:spPr>
          <a:xfrm>
            <a:off x="57151" y="809625"/>
            <a:ext cx="647700" cy="23812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latin typeface="Albertus Medium" panose="020E0602030304020304" pitchFamily="34" charset="0"/>
              </a:rPr>
              <a:t>Painel</a:t>
            </a:r>
          </a:p>
        </xdr:txBody>
      </xdr:sp>
    </xdr:grpSp>
    <xdr:clientData/>
  </xdr:twoCellAnchor>
  <xdr:twoCellAnchor>
    <xdr:from>
      <xdr:col>0</xdr:col>
      <xdr:colOff>28575</xdr:colOff>
      <xdr:row>0</xdr:row>
      <xdr:rowOff>9525</xdr:rowOff>
    </xdr:from>
    <xdr:to>
      <xdr:col>1</xdr:col>
      <xdr:colOff>314325</xdr:colOff>
      <xdr:row>21</xdr:row>
      <xdr:rowOff>171450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E5A5D8EA-1DB8-494C-ACA3-36FD895188E4}"/>
            </a:ext>
          </a:extLst>
        </xdr:cNvPr>
        <xdr:cNvSpPr/>
      </xdr:nvSpPr>
      <xdr:spPr>
        <a:xfrm>
          <a:off x="28575" y="9525"/>
          <a:ext cx="895350" cy="4162425"/>
        </a:xfrm>
        <a:prstGeom prst="rect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581024</xdr:colOff>
      <xdr:row>6</xdr:row>
      <xdr:rowOff>133349</xdr:rowOff>
    </xdr:from>
    <xdr:to>
      <xdr:col>9</xdr:col>
      <xdr:colOff>228599</xdr:colOff>
      <xdr:row>21</xdr:row>
      <xdr:rowOff>95250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C048FC7-0B1D-4C89-A242-96D686D6C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180974</xdr:colOff>
      <xdr:row>2</xdr:row>
      <xdr:rowOff>95250</xdr:rowOff>
    </xdr:from>
    <xdr:to>
      <xdr:col>4</xdr:col>
      <xdr:colOff>523875</xdr:colOff>
      <xdr:row>5</xdr:row>
      <xdr:rowOff>28575</xdr:rowOff>
    </xdr:to>
    <xdr:sp macro="" textlink="$M$1">
      <xdr:nvSpPr>
        <xdr:cNvPr id="17" name="Retângulo: Cantos Arredondados 16">
          <a:extLst>
            <a:ext uri="{FF2B5EF4-FFF2-40B4-BE49-F238E27FC236}">
              <a16:creationId xmlns:a16="http://schemas.microsoft.com/office/drawing/2014/main" id="{54BE1C0A-8EBD-6E21-7E59-D8403769BFF3}"/>
            </a:ext>
          </a:extLst>
        </xdr:cNvPr>
        <xdr:cNvSpPr/>
      </xdr:nvSpPr>
      <xdr:spPr>
        <a:xfrm>
          <a:off x="1400174" y="476250"/>
          <a:ext cx="1562101" cy="504825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0CCE1278-BD09-4E18-A19B-5289DDEBEFA3}" type="TxLink">
            <a:rPr lang="en-US" sz="12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R$ 78.261,20 </a:t>
          </a:fld>
          <a:endParaRPr lang="pt-BR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9524</xdr:colOff>
      <xdr:row>2</xdr:row>
      <xdr:rowOff>95250</xdr:rowOff>
    </xdr:from>
    <xdr:to>
      <xdr:col>7</xdr:col>
      <xdr:colOff>352425</xdr:colOff>
      <xdr:row>5</xdr:row>
      <xdr:rowOff>28575</xdr:rowOff>
    </xdr:to>
    <xdr:sp macro="" textlink="$M$2">
      <xdr:nvSpPr>
        <xdr:cNvPr id="22" name="Retângulo: Cantos Arredondados 21">
          <a:extLst>
            <a:ext uri="{FF2B5EF4-FFF2-40B4-BE49-F238E27FC236}">
              <a16:creationId xmlns:a16="http://schemas.microsoft.com/office/drawing/2014/main" id="{1618BB22-9C50-41F5-AA01-199501FDE19D}"/>
            </a:ext>
          </a:extLst>
        </xdr:cNvPr>
        <xdr:cNvSpPr/>
      </xdr:nvSpPr>
      <xdr:spPr>
        <a:xfrm>
          <a:off x="3057524" y="476250"/>
          <a:ext cx="1562101" cy="504825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D952365A-6F0D-42E4-9622-F38EB942325D}" type="TxLink">
            <a:rPr lang="en-US" sz="1200" b="1" i="0" u="none" strike="noStrike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R$ 102.086,39 </a:t>
          </a:fld>
          <a:endParaRPr lang="pt-BR" sz="12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447674</xdr:colOff>
      <xdr:row>2</xdr:row>
      <xdr:rowOff>95250</xdr:rowOff>
    </xdr:from>
    <xdr:to>
      <xdr:col>9</xdr:col>
      <xdr:colOff>790575</xdr:colOff>
      <xdr:row>5</xdr:row>
      <xdr:rowOff>28575</xdr:rowOff>
    </xdr:to>
    <xdr:sp macro="" textlink="$M$3">
      <xdr:nvSpPr>
        <xdr:cNvPr id="23" name="Retângulo: Cantos Arredondados 22">
          <a:extLst>
            <a:ext uri="{FF2B5EF4-FFF2-40B4-BE49-F238E27FC236}">
              <a16:creationId xmlns:a16="http://schemas.microsoft.com/office/drawing/2014/main" id="{469E7B17-65F3-402F-BAC8-3514C3D1C4B9}"/>
            </a:ext>
          </a:extLst>
        </xdr:cNvPr>
        <xdr:cNvSpPr/>
      </xdr:nvSpPr>
      <xdr:spPr>
        <a:xfrm>
          <a:off x="4714874" y="476250"/>
          <a:ext cx="1562101" cy="504825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CC623F17-A23D-402E-BB5B-D37A1B7AF854}" type="TxLink">
            <a:rPr lang="en-US" sz="12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R$ 23.825,19 </a:t>
          </a:fld>
          <a:endParaRPr lang="pt-BR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885824</xdr:colOff>
      <xdr:row>2</xdr:row>
      <xdr:rowOff>95250</xdr:rowOff>
    </xdr:from>
    <xdr:to>
      <xdr:col>10</xdr:col>
      <xdr:colOff>533400</xdr:colOff>
      <xdr:row>5</xdr:row>
      <xdr:rowOff>28575</xdr:rowOff>
    </xdr:to>
    <xdr:sp macro="" textlink="$M$4">
      <xdr:nvSpPr>
        <xdr:cNvPr id="24" name="Retângulo: Cantos Arredondados 23">
          <a:extLst>
            <a:ext uri="{FF2B5EF4-FFF2-40B4-BE49-F238E27FC236}">
              <a16:creationId xmlns:a16="http://schemas.microsoft.com/office/drawing/2014/main" id="{7851BC82-4791-4C5F-9548-2D19212051B5}"/>
            </a:ext>
          </a:extLst>
        </xdr:cNvPr>
        <xdr:cNvSpPr/>
      </xdr:nvSpPr>
      <xdr:spPr>
        <a:xfrm>
          <a:off x="6372224" y="476250"/>
          <a:ext cx="1562101" cy="504825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6BBAF5C-92DF-4127-BAA3-1A3636DE4761}" type="TxLink">
            <a:rPr lang="en-US" sz="1400" b="1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R$ 860,15 </a:t>
          </a:fld>
          <a:endParaRPr lang="pt-BR" sz="14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628649</xdr:colOff>
      <xdr:row>2</xdr:row>
      <xdr:rowOff>95250</xdr:rowOff>
    </xdr:from>
    <xdr:to>
      <xdr:col>11</xdr:col>
      <xdr:colOff>857250</xdr:colOff>
      <xdr:row>5</xdr:row>
      <xdr:rowOff>28575</xdr:rowOff>
    </xdr:to>
    <xdr:sp macro="" textlink="$M$5">
      <xdr:nvSpPr>
        <xdr:cNvPr id="25" name="Retângulo: Cantos Arredondados 24">
          <a:extLst>
            <a:ext uri="{FF2B5EF4-FFF2-40B4-BE49-F238E27FC236}">
              <a16:creationId xmlns:a16="http://schemas.microsoft.com/office/drawing/2014/main" id="{3354BED9-E07C-493E-A037-923F660F8463}"/>
            </a:ext>
          </a:extLst>
        </xdr:cNvPr>
        <xdr:cNvSpPr/>
      </xdr:nvSpPr>
      <xdr:spPr>
        <a:xfrm>
          <a:off x="8029574" y="476250"/>
          <a:ext cx="1562101" cy="504825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BA2296D-F4BA-45A9-8B21-0E6614FD3820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83%</a:t>
          </a:fld>
          <a:endParaRPr lang="pt-BR" sz="1800" b="1"/>
        </a:p>
      </xdr:txBody>
    </xdr:sp>
    <xdr:clientData/>
  </xdr:twoCellAnchor>
  <xdr:twoCellAnchor>
    <xdr:from>
      <xdr:col>2</xdr:col>
      <xdr:colOff>161925</xdr:colOff>
      <xdr:row>1</xdr:row>
      <xdr:rowOff>19050</xdr:rowOff>
    </xdr:from>
    <xdr:to>
      <xdr:col>4</xdr:col>
      <xdr:colOff>533400</xdr:colOff>
      <xdr:row>2</xdr:row>
      <xdr:rowOff>104775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9A615DC9-8717-A8C0-5509-D7C9E1DD47CC}"/>
            </a:ext>
          </a:extLst>
        </xdr:cNvPr>
        <xdr:cNvSpPr txBox="1"/>
      </xdr:nvSpPr>
      <xdr:spPr>
        <a:xfrm>
          <a:off x="1381125" y="209550"/>
          <a:ext cx="1590675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APORTADO</a:t>
          </a:r>
        </a:p>
      </xdr:txBody>
    </xdr:sp>
    <xdr:clientData/>
  </xdr:twoCellAnchor>
  <xdr:twoCellAnchor>
    <xdr:from>
      <xdr:col>4</xdr:col>
      <xdr:colOff>600075</xdr:colOff>
      <xdr:row>1</xdr:row>
      <xdr:rowOff>19050</xdr:rowOff>
    </xdr:from>
    <xdr:to>
      <xdr:col>7</xdr:col>
      <xdr:colOff>361950</xdr:colOff>
      <xdr:row>2</xdr:row>
      <xdr:rowOff>104775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68AF1F45-B6B9-4D0E-A126-0752CB9583F0}"/>
            </a:ext>
          </a:extLst>
        </xdr:cNvPr>
        <xdr:cNvSpPr txBox="1"/>
      </xdr:nvSpPr>
      <xdr:spPr>
        <a:xfrm>
          <a:off x="3038475" y="209550"/>
          <a:ext cx="1590675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PATRIMÔNIO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FINAL</a:t>
          </a:r>
        </a:p>
      </xdr:txBody>
    </xdr:sp>
    <xdr:clientData/>
  </xdr:twoCellAnchor>
  <xdr:twoCellAnchor>
    <xdr:from>
      <xdr:col>7</xdr:col>
      <xdr:colOff>419100</xdr:colOff>
      <xdr:row>1</xdr:row>
      <xdr:rowOff>28575</xdr:rowOff>
    </xdr:from>
    <xdr:to>
      <xdr:col>9</xdr:col>
      <xdr:colOff>790575</xdr:colOff>
      <xdr:row>2</xdr:row>
      <xdr:rowOff>114300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8AE9C877-811C-4BF9-990F-F8CD7DD61B2A}"/>
            </a:ext>
          </a:extLst>
        </xdr:cNvPr>
        <xdr:cNvSpPr txBox="1"/>
      </xdr:nvSpPr>
      <xdr:spPr>
        <a:xfrm>
          <a:off x="4686300" y="219075"/>
          <a:ext cx="1590675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LUCRO NOMINAL</a:t>
          </a:r>
          <a:endParaRPr lang="pt-BR" sz="1100" b="1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866775</xdr:colOff>
      <xdr:row>0</xdr:row>
      <xdr:rowOff>0</xdr:rowOff>
    </xdr:from>
    <xdr:to>
      <xdr:col>10</xdr:col>
      <xdr:colOff>542925</xdr:colOff>
      <xdr:row>2</xdr:row>
      <xdr:rowOff>123826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C2DAC298-3350-4DFB-8B5D-37B33C34E424}"/>
            </a:ext>
          </a:extLst>
        </xdr:cNvPr>
        <xdr:cNvSpPr txBox="1"/>
      </xdr:nvSpPr>
      <xdr:spPr>
        <a:xfrm>
          <a:off x="6353175" y="0"/>
          <a:ext cx="1590675" cy="50482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RENDA MENSAL</a:t>
          </a:r>
          <a:r>
            <a:rPr lang="pt-BR" sz="10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ESTIMADA</a:t>
          </a:r>
        </a:p>
      </xdr:txBody>
    </xdr:sp>
    <xdr:clientData/>
  </xdr:twoCellAnchor>
  <xdr:twoCellAnchor>
    <xdr:from>
      <xdr:col>10</xdr:col>
      <xdr:colOff>609600</xdr:colOff>
      <xdr:row>1</xdr:row>
      <xdr:rowOff>0</xdr:rowOff>
    </xdr:from>
    <xdr:to>
      <xdr:col>11</xdr:col>
      <xdr:colOff>866775</xdr:colOff>
      <xdr:row>2</xdr:row>
      <xdr:rowOff>85725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6AA93F46-DFEC-4ADC-B00C-95D9CECCF3CA}"/>
            </a:ext>
          </a:extLst>
        </xdr:cNvPr>
        <xdr:cNvSpPr txBox="1"/>
      </xdr:nvSpPr>
      <xdr:spPr>
        <a:xfrm>
          <a:off x="8010525" y="190500"/>
          <a:ext cx="1590675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CAGR</a:t>
          </a:r>
          <a:endParaRPr lang="pt-BR" sz="1100" b="1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BB553-B89F-4059-8924-B115A54B808C}" name="Tabela1" displayName="Tabela1" ref="J11:L15" totalsRowShown="0" headerRowDxfId="5" dataDxfId="4" tableBorderDxfId="3">
  <autoFilter ref="J11:L15" xr:uid="{D08BB553-B89F-4059-8924-B115A54B808C}"/>
  <tableColumns count="3">
    <tableColumn id="1" xr3:uid="{6164AAA7-397D-405A-BECF-A9F8CE280CF0}" name="ATIVO" dataDxfId="2"/>
    <tableColumn id="2" xr3:uid="{6336D1EA-220F-44CD-B71F-AF504282D936}" name="% SUGERIDO" dataDxfId="1">
      <calculatedColumnFormula>Ativos!G6</calculatedColumnFormula>
    </tableColumn>
    <tableColumn id="3" xr3:uid="{F53C4996-065A-48F5-9AC2-51BC0A981AE1}" name="VALOR" dataDxfId="0">
      <calculatedColumnFormula>Perfil!$C$6*Tabela1[[#This Row],[% SUGERIDO]]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F10C-C500-4EB4-ACD1-D63679BBF96A}">
  <dimension ref="A1:D33"/>
  <sheetViews>
    <sheetView showGridLines="0" showRowColHeaders="0" zoomScaleNormal="100" workbookViewId="0"/>
  </sheetViews>
  <sheetFormatPr defaultColWidth="0" defaultRowHeight="15" zeroHeight="1"/>
  <cols>
    <col min="1" max="1" width="11.28515625" customWidth="1"/>
    <col min="2" max="2" width="40.5703125" bestFit="1" customWidth="1"/>
    <col min="3" max="3" width="22.42578125" customWidth="1"/>
    <col min="4" max="4" width="9.140625" customWidth="1"/>
    <col min="5" max="16384" width="9.140625" hidden="1"/>
  </cols>
  <sheetData>
    <row r="1" spans="1:4">
      <c r="A1" s="66"/>
      <c r="D1" s="66"/>
    </row>
    <row r="2" spans="1:4" ht="42.75" customHeight="1">
      <c r="A2" s="66"/>
      <c r="D2" s="66"/>
    </row>
    <row r="3" spans="1:4" ht="15.75" thickBot="1">
      <c r="A3" s="66"/>
      <c r="D3" s="66"/>
    </row>
    <row r="4" spans="1:4" ht="27" thickBot="1">
      <c r="A4" s="66"/>
      <c r="B4" s="77" t="s">
        <v>43</v>
      </c>
      <c r="C4" s="78"/>
      <c r="D4" s="66"/>
    </row>
    <row r="5" spans="1:4" ht="17.25">
      <c r="A5" s="66"/>
      <c r="B5" s="37" t="s">
        <v>12</v>
      </c>
      <c r="C5" s="28">
        <v>5000</v>
      </c>
      <c r="D5" s="66"/>
    </row>
    <row r="6" spans="1:4" ht="17.25">
      <c r="A6" s="66"/>
      <c r="B6" s="38" t="s">
        <v>13</v>
      </c>
      <c r="C6" s="29">
        <v>1000</v>
      </c>
      <c r="D6" s="66"/>
    </row>
    <row r="7" spans="1:4" ht="17.25">
      <c r="A7" s="66"/>
      <c r="B7" s="38" t="s">
        <v>10</v>
      </c>
      <c r="C7" s="30">
        <v>0.1</v>
      </c>
      <c r="D7" s="66"/>
    </row>
    <row r="8" spans="1:4" ht="17.25">
      <c r="A8" s="66"/>
      <c r="B8" s="38" t="s">
        <v>14</v>
      </c>
      <c r="C8" s="31">
        <v>5</v>
      </c>
      <c r="D8" s="66"/>
    </row>
    <row r="9" spans="1:4" ht="17.25">
      <c r="A9" s="66"/>
      <c r="B9" s="38" t="s">
        <v>16</v>
      </c>
      <c r="C9" s="32">
        <f>prazo*12</f>
        <v>60</v>
      </c>
      <c r="D9" s="66"/>
    </row>
    <row r="10" spans="1:4" ht="17.25">
      <c r="A10" s="66"/>
      <c r="B10" s="38" t="s">
        <v>0</v>
      </c>
      <c r="C10" s="33" t="s">
        <v>44</v>
      </c>
      <c r="D10" s="66"/>
    </row>
    <row r="11" spans="1:4" ht="17.25">
      <c r="A11" s="66"/>
      <c r="B11" s="38" t="s">
        <v>9</v>
      </c>
      <c r="C11" s="36" t="s">
        <v>15</v>
      </c>
      <c r="D11" s="66"/>
    </row>
    <row r="12" spans="1:4" ht="17.25">
      <c r="A12" s="66"/>
      <c r="B12" s="38" t="s">
        <v>1</v>
      </c>
      <c r="C12" s="35">
        <v>0</v>
      </c>
      <c r="D12" s="66"/>
    </row>
    <row r="13" spans="1:4" ht="17.25">
      <c r="A13" s="66"/>
      <c r="B13" s="38" t="s">
        <v>2</v>
      </c>
      <c r="C13" s="34" t="str">
        <f>IF((IF(prazo&lt;2,0,IF(prazo&lt;=4,1,IF(prazo&lt;=9,2,IF(prazo&lt;=19,3,4))))+IF(tolerancia=0%,0,IF(tolerancia&lt;=5%,1,IF(tolerancia&lt;=15%,2,IF(tolerancia&lt;=25%,3,4))))+IF(objetivo="Renda",0,IF(objetivo="Equilíbrio",1,2)))&lt;=3,"Conservador",IF((IF(prazo&lt;2,0,IF(prazo&lt;=4,1,IF(prazo&lt;=9,2,IF(prazo&lt;=19,3,4))))+IF(tolerancia=0%,0,IF(tolerancia&lt;=5%,1,IF(tolerancia&lt;=15%,2,IF(tolerancia&lt;=25%,3,4))))+IF(objetivo="Renda",0,IF(objetivo="Equilíbrio",1,2)))&lt;=6,"Moderado","Agressivo"))</f>
        <v>Conservador</v>
      </c>
      <c r="D13" s="66"/>
    </row>
    <row r="14" spans="1:4" ht="66.75" thickBot="1">
      <c r="A14" s="66"/>
      <c r="B14" s="39" t="s">
        <v>8</v>
      </c>
      <c r="C14" s="1" t="str">
        <f>IF(C13="Conservador","Foco em estabilidade e previsibilidade de renda",IF(C13="Moderado","Equilíbrio entre renda e crescimento","Busca maior crescimento com maior volatilidade"))</f>
        <v>Foco em estabilidade e previsibilidade de renda</v>
      </c>
      <c r="D14" s="66"/>
    </row>
    <row r="15" spans="1:4" hidden="1">
      <c r="A15" s="66"/>
      <c r="B15" s="66"/>
      <c r="C15" s="66"/>
      <c r="D15" s="66"/>
    </row>
    <row r="16" spans="1:4" hidden="1">
      <c r="A16" s="66"/>
      <c r="B16" s="66"/>
      <c r="C16" s="66"/>
      <c r="D16" s="66"/>
    </row>
    <row r="17" spans="1:4" hidden="1">
      <c r="A17" s="66"/>
      <c r="B17" s="66"/>
      <c r="C17" s="66"/>
      <c r="D17" s="66"/>
    </row>
    <row r="18" spans="1:4" hidden="1">
      <c r="A18" s="66"/>
      <c r="B18" s="66"/>
      <c r="C18" s="66"/>
      <c r="D18" s="66"/>
    </row>
    <row r="19" spans="1:4" hidden="1">
      <c r="A19" s="66"/>
      <c r="B19" s="66"/>
      <c r="C19" s="66"/>
      <c r="D19" s="66"/>
    </row>
    <row r="20" spans="1:4" hidden="1">
      <c r="A20" s="66"/>
      <c r="B20" s="66"/>
      <c r="C20" s="66"/>
      <c r="D20" s="66"/>
    </row>
    <row r="21" spans="1:4" hidden="1">
      <c r="A21" s="66"/>
      <c r="B21" s="66"/>
      <c r="C21" s="66"/>
      <c r="D21" s="66"/>
    </row>
    <row r="22" spans="1:4" hidden="1">
      <c r="A22" s="66"/>
      <c r="B22" s="66"/>
      <c r="C22" s="66"/>
      <c r="D22" s="66"/>
    </row>
    <row r="23" spans="1:4" hidden="1">
      <c r="A23" s="66"/>
      <c r="B23" s="66"/>
      <c r="C23" s="66"/>
      <c r="D23" s="66"/>
    </row>
    <row r="24" spans="1:4" hidden="1">
      <c r="A24" s="66"/>
      <c r="B24" s="66"/>
      <c r="C24" s="66"/>
      <c r="D24" s="66"/>
    </row>
    <row r="25" spans="1:4" hidden="1">
      <c r="A25" s="66"/>
      <c r="B25" s="66"/>
      <c r="C25" s="66"/>
      <c r="D25" s="66"/>
    </row>
    <row r="26" spans="1:4" hidden="1">
      <c r="A26" s="66"/>
      <c r="B26" s="66"/>
      <c r="C26" s="66"/>
      <c r="D26" s="66"/>
    </row>
    <row r="27" spans="1:4" hidden="1">
      <c r="A27" s="66"/>
      <c r="B27" s="66"/>
      <c r="C27" s="66"/>
      <c r="D27" s="66"/>
    </row>
    <row r="33" customFormat="1" hidden="1"/>
  </sheetData>
  <mergeCells count="1">
    <mergeCell ref="B4:C4"/>
  </mergeCells>
  <dataValidations count="2">
    <dataValidation type="list" allowBlank="1" showInputMessage="1" showErrorMessage="1" sqref="C10" xr:uid="{A8124C04-E919-46AC-AB46-D75528718FE4}">
      <formula1>"Renda,Equilíbrio,Patrimônio"</formula1>
    </dataValidation>
    <dataValidation type="list" allowBlank="1" showInputMessage="1" showErrorMessage="1" sqref="C11" xr:uid="{45619798-81F7-40BB-B7F7-32CBAC1B91B6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72D3-AC19-4D22-927F-2CEB69F7BB0C}">
  <dimension ref="A1:H10"/>
  <sheetViews>
    <sheetView showGridLines="0" showRowColHeaders="0" workbookViewId="0"/>
  </sheetViews>
  <sheetFormatPr defaultColWidth="0" defaultRowHeight="15" zeroHeight="1"/>
  <cols>
    <col min="1" max="1" width="13.7109375" customWidth="1"/>
    <col min="2" max="2" width="23.85546875" customWidth="1"/>
    <col min="3" max="3" width="26.28515625" bestFit="1" customWidth="1"/>
    <col min="4" max="4" width="15.7109375" bestFit="1" customWidth="1"/>
    <col min="5" max="6" width="12.28515625" bestFit="1" customWidth="1"/>
    <col min="7" max="7" width="17.7109375" bestFit="1" customWidth="1"/>
    <col min="8" max="8" width="9.140625" customWidth="1"/>
    <col min="9" max="16384" width="9.140625" hidden="1"/>
  </cols>
  <sheetData>
    <row r="1" spans="1:8">
      <c r="A1" s="66"/>
      <c r="B1" s="66"/>
      <c r="C1" s="66"/>
      <c r="D1" s="66"/>
      <c r="E1" s="66"/>
      <c r="F1" s="66"/>
      <c r="G1" s="66"/>
      <c r="H1" s="66"/>
    </row>
    <row r="2" spans="1:8" ht="15.75" thickBot="1">
      <c r="A2" s="66"/>
      <c r="B2" s="66"/>
      <c r="C2" s="66"/>
      <c r="D2" s="66"/>
      <c r="E2" s="66"/>
      <c r="F2" s="66"/>
      <c r="G2" s="66"/>
      <c r="H2" s="66"/>
    </row>
    <row r="3" spans="1:8" ht="17.25" thickBot="1">
      <c r="A3" s="66"/>
      <c r="B3" s="5" t="s">
        <v>19</v>
      </c>
      <c r="C3" s="6" t="str">
        <f>Perfil!C13</f>
        <v>Conservador</v>
      </c>
      <c r="D3" s="66"/>
      <c r="E3" s="66"/>
      <c r="F3" s="66"/>
      <c r="G3" s="66"/>
      <c r="H3" s="66"/>
    </row>
    <row r="4" spans="1:8" ht="15.75" thickBot="1">
      <c r="A4" s="66"/>
      <c r="B4" s="66"/>
      <c r="C4" s="66"/>
      <c r="D4" s="66"/>
      <c r="E4" s="66"/>
      <c r="F4" s="66"/>
      <c r="G4" s="66"/>
      <c r="H4" s="66"/>
    </row>
    <row r="5" spans="1:8" ht="15.75">
      <c r="A5" s="66"/>
      <c r="B5" s="14" t="s">
        <v>11</v>
      </c>
      <c r="C5" s="15" t="s">
        <v>17</v>
      </c>
      <c r="D5" s="15" t="s">
        <v>5</v>
      </c>
      <c r="E5" s="15" t="s">
        <v>6</v>
      </c>
      <c r="F5" s="15" t="s">
        <v>7</v>
      </c>
      <c r="G5" s="16" t="s">
        <v>18</v>
      </c>
      <c r="H5" s="66"/>
    </row>
    <row r="6" spans="1:8" ht="42.75">
      <c r="A6" s="66"/>
      <c r="B6" s="17" t="s">
        <v>28</v>
      </c>
      <c r="C6" s="2" t="s">
        <v>20</v>
      </c>
      <c r="D6" s="7">
        <v>0.6</v>
      </c>
      <c r="E6" s="7">
        <v>0.2</v>
      </c>
      <c r="F6" s="7">
        <v>0.05</v>
      </c>
      <c r="G6" s="8">
        <f>IF($C$3="Conservador",D6,IF($C$3="Moderado",E6,F6))</f>
        <v>0.6</v>
      </c>
      <c r="H6" s="66"/>
    </row>
    <row r="7" spans="1:8" ht="57">
      <c r="A7" s="66"/>
      <c r="B7" s="18" t="s">
        <v>21</v>
      </c>
      <c r="C7" s="3" t="s">
        <v>22</v>
      </c>
      <c r="D7" s="9">
        <v>0.3</v>
      </c>
      <c r="E7" s="9">
        <v>0.4</v>
      </c>
      <c r="F7" s="9">
        <v>0.15</v>
      </c>
      <c r="G7" s="10">
        <f>IF($C$3="Conservador",D7,IF($C$3="Moderado",E7,F7))</f>
        <v>0.3</v>
      </c>
      <c r="H7" s="66"/>
    </row>
    <row r="8" spans="1:8" ht="71.25">
      <c r="A8" s="66"/>
      <c r="B8" s="18" t="s">
        <v>3</v>
      </c>
      <c r="C8" s="3" t="s">
        <v>23</v>
      </c>
      <c r="D8" s="9">
        <v>0.05</v>
      </c>
      <c r="E8" s="9">
        <v>0.25</v>
      </c>
      <c r="F8" s="9">
        <v>0.4</v>
      </c>
      <c r="G8" s="11">
        <f>IF($C$3="Conservador",D8,IF($C$3="Moderado",E8,F8))</f>
        <v>0.05</v>
      </c>
      <c r="H8" s="66"/>
    </row>
    <row r="9" spans="1:8" ht="43.5" thickBot="1">
      <c r="A9" s="66"/>
      <c r="B9" s="19" t="s">
        <v>29</v>
      </c>
      <c r="C9" s="4" t="s">
        <v>24</v>
      </c>
      <c r="D9" s="12">
        <v>0.05</v>
      </c>
      <c r="E9" s="12">
        <v>0.15</v>
      </c>
      <c r="F9" s="12">
        <v>0.4</v>
      </c>
      <c r="G9" s="13">
        <f>IF($C$3="Conservador",D9,IF($C$3="Moderado",E9,F9))</f>
        <v>0.05</v>
      </c>
      <c r="H9" s="66"/>
    </row>
    <row r="10" spans="1:8">
      <c r="A10" s="66"/>
      <c r="B10" s="66"/>
      <c r="C10" s="66"/>
      <c r="D10" s="66"/>
      <c r="E10" s="66"/>
      <c r="F10" s="66"/>
      <c r="G10" s="66"/>
      <c r="H10" s="66"/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4EF2-951D-4E62-A89A-C6370240D45A}">
  <dimension ref="A1:G619"/>
  <sheetViews>
    <sheetView showGridLines="0" showRowColHeaders="0" tabSelected="1" zoomScaleNormal="100" workbookViewId="0">
      <selection activeCell="G6" sqref="G6"/>
    </sheetView>
  </sheetViews>
  <sheetFormatPr defaultColWidth="0" defaultRowHeight="15" zeroHeight="1"/>
  <cols>
    <col min="1" max="1" width="5.42578125" style="57" bestFit="1" customWidth="1"/>
    <col min="2" max="2" width="30.5703125" style="57" bestFit="1" customWidth="1"/>
    <col min="3" max="3" width="16.140625" style="57" bestFit="1" customWidth="1"/>
    <col min="4" max="4" width="17.140625" style="57" bestFit="1" customWidth="1"/>
    <col min="5" max="5" width="13.7109375" style="57" bestFit="1" customWidth="1"/>
    <col min="6" max="6" width="14.5703125" style="57" bestFit="1" customWidth="1"/>
    <col min="7" max="7" width="15.85546875" style="57" bestFit="1" customWidth="1"/>
    <col min="8" max="16384" width="9.140625" hidden="1"/>
  </cols>
  <sheetData>
    <row r="1" spans="1:7" ht="15.75" thickBot="1">
      <c r="A1" s="66"/>
      <c r="B1" s="66"/>
      <c r="C1" s="66"/>
      <c r="D1" s="66"/>
      <c r="E1" s="66"/>
      <c r="F1" s="66"/>
      <c r="G1" s="66"/>
    </row>
    <row r="2" spans="1:7" ht="16.5">
      <c r="A2" s="66"/>
      <c r="B2" s="79" t="s">
        <v>39</v>
      </c>
      <c r="C2" s="80"/>
      <c r="D2" s="66"/>
      <c r="E2" s="66"/>
      <c r="F2" s="66"/>
      <c r="G2" s="66"/>
    </row>
    <row r="3" spans="1:7" ht="16.5">
      <c r="A3" s="66"/>
      <c r="B3" s="61" t="s">
        <v>38</v>
      </c>
      <c r="C3" s="59">
        <v>1</v>
      </c>
      <c r="D3" s="66"/>
      <c r="E3" s="66"/>
      <c r="F3" s="66"/>
      <c r="G3" s="66"/>
    </row>
    <row r="4" spans="1:7" ht="16.5">
      <c r="A4" s="66"/>
      <c r="B4" s="61" t="s">
        <v>40</v>
      </c>
      <c r="C4" s="59">
        <v>1.2</v>
      </c>
      <c r="D4" s="66"/>
      <c r="E4" s="66"/>
      <c r="F4" s="66"/>
      <c r="G4" s="66"/>
    </row>
    <row r="5" spans="1:7" ht="17.25" thickBot="1">
      <c r="A5" s="66"/>
      <c r="B5" s="62" t="s">
        <v>41</v>
      </c>
      <c r="C5" s="60">
        <v>0.7</v>
      </c>
      <c r="D5" s="66"/>
      <c r="E5" s="66"/>
      <c r="F5" s="66"/>
      <c r="G5" s="66"/>
    </row>
    <row r="6" spans="1:7">
      <c r="A6" s="66"/>
      <c r="B6" s="66"/>
      <c r="C6" s="66"/>
      <c r="D6" s="66"/>
      <c r="E6" s="66"/>
      <c r="F6" s="66"/>
      <c r="G6" s="66"/>
    </row>
    <row r="7" spans="1:7" ht="17.25" thickBot="1">
      <c r="A7" s="66"/>
      <c r="B7" s="67"/>
      <c r="C7" s="67"/>
      <c r="D7" s="68"/>
      <c r="E7" s="69"/>
      <c r="F7" s="66"/>
      <c r="G7" s="66"/>
    </row>
    <row r="8" spans="1:7" ht="17.25" thickBot="1">
      <c r="A8" s="66"/>
      <c r="B8" s="63" t="s">
        <v>42</v>
      </c>
      <c r="C8" s="64" t="s">
        <v>38</v>
      </c>
      <c r="D8" s="66"/>
      <c r="E8" s="66"/>
      <c r="F8" s="66"/>
      <c r="G8" s="66"/>
    </row>
    <row r="9" spans="1:7" ht="15.75" thickBot="1">
      <c r="A9" s="66"/>
      <c r="B9" s="66"/>
      <c r="C9" s="66"/>
      <c r="D9" s="66"/>
      <c r="E9" s="66"/>
      <c r="F9" s="66"/>
      <c r="G9" s="66"/>
    </row>
    <row r="10" spans="1:7" ht="17.25" thickBot="1">
      <c r="A10" s="66"/>
      <c r="B10" s="44" t="s">
        <v>30</v>
      </c>
      <c r="C10" s="65">
        <f>SUMPRODUCT(C13:C16,E13:E16)*IF(C8="Base",1,IF(C8="Otimista",1.2,0.7))</f>
        <v>8.4256721399064809E-3</v>
      </c>
      <c r="D10" s="66"/>
      <c r="E10" s="66"/>
      <c r="F10" s="66"/>
      <c r="G10" s="66"/>
    </row>
    <row r="11" spans="1:7" ht="15.75" thickBot="1">
      <c r="A11" s="66"/>
      <c r="B11" s="66"/>
      <c r="C11" s="66"/>
      <c r="D11" s="66"/>
      <c r="E11" s="66"/>
      <c r="F11" s="66"/>
      <c r="G11" s="66"/>
    </row>
    <row r="12" spans="1:7" ht="34.5">
      <c r="A12" s="66"/>
      <c r="B12" s="40" t="s">
        <v>4</v>
      </c>
      <c r="C12" s="41" t="s">
        <v>25</v>
      </c>
      <c r="D12" s="42" t="s">
        <v>26</v>
      </c>
      <c r="E12" s="43" t="s">
        <v>27</v>
      </c>
      <c r="F12" s="66"/>
      <c r="G12" s="66"/>
    </row>
    <row r="13" spans="1:7" ht="16.5">
      <c r="A13" s="66"/>
      <c r="B13" s="23" t="s">
        <v>28</v>
      </c>
      <c r="C13" s="25">
        <f>Ativos!G6</f>
        <v>0.6</v>
      </c>
      <c r="D13" s="22">
        <v>0.1</v>
      </c>
      <c r="E13" s="27">
        <f>((1+D13)^(1/12))-1</f>
        <v>7.9741404289037643E-3</v>
      </c>
      <c r="F13" s="66"/>
      <c r="G13" s="66"/>
    </row>
    <row r="14" spans="1:7" ht="16.5">
      <c r="A14" s="66"/>
      <c r="B14" s="23" t="s">
        <v>21</v>
      </c>
      <c r="C14" s="25">
        <f>Ativos!G7</f>
        <v>0.3</v>
      </c>
      <c r="D14" s="22">
        <v>0.115</v>
      </c>
      <c r="E14" s="27">
        <f>((1+D14)^(1/12))-1</f>
        <v>9.1124684369046083E-3</v>
      </c>
      <c r="F14" s="66"/>
      <c r="G14" s="66"/>
    </row>
    <row r="15" spans="1:7" ht="16.5">
      <c r="A15" s="66"/>
      <c r="B15" s="23" t="s">
        <v>3</v>
      </c>
      <c r="C15" s="25">
        <f>Ativos!G8</f>
        <v>0.05</v>
      </c>
      <c r="D15" s="22">
        <v>0.15</v>
      </c>
      <c r="E15" s="27">
        <f>((1+D15)^(1/12))-1</f>
        <v>1.171491691985338E-2</v>
      </c>
      <c r="F15" s="66"/>
      <c r="G15" s="66"/>
    </row>
    <row r="16" spans="1:7" ht="17.25" thickBot="1">
      <c r="A16" s="66"/>
      <c r="B16" s="24" t="s">
        <v>29</v>
      </c>
      <c r="C16" s="26">
        <f>Ativos!G9</f>
        <v>0.05</v>
      </c>
      <c r="D16" s="21">
        <v>0.08</v>
      </c>
      <c r="E16" s="20">
        <f>((1+D16)^(1/12))-1</f>
        <v>6.4340301100034303E-3</v>
      </c>
      <c r="F16" s="66"/>
      <c r="G16" s="66"/>
    </row>
    <row r="17" spans="1:7">
      <c r="A17" s="66"/>
      <c r="B17" s="66"/>
      <c r="C17" s="66"/>
      <c r="D17" s="66"/>
      <c r="E17" s="66"/>
      <c r="F17" s="66"/>
      <c r="G17" s="66"/>
    </row>
    <row r="18" spans="1:7" ht="15.75" thickBot="1">
      <c r="A18" s="66"/>
      <c r="B18" s="66"/>
      <c r="C18" s="66"/>
      <c r="D18" s="66"/>
      <c r="E18" s="66"/>
      <c r="F18" s="66"/>
      <c r="G18" s="66"/>
    </row>
    <row r="19" spans="1:7" ht="17.25" thickBot="1">
      <c r="A19" s="45" t="s">
        <v>31</v>
      </c>
      <c r="B19" s="55" t="s">
        <v>32</v>
      </c>
      <c r="C19" s="55" t="s">
        <v>33</v>
      </c>
      <c r="D19" s="55" t="s">
        <v>34</v>
      </c>
      <c r="E19" s="55" t="s">
        <v>36</v>
      </c>
      <c r="F19" s="55" t="s">
        <v>35</v>
      </c>
      <c r="G19" s="56" t="s">
        <v>37</v>
      </c>
    </row>
    <row r="20" spans="1:7" ht="16.5">
      <c r="A20" s="46" cm="1">
        <f t="array" ref="A20:A79">_xlfn.SEQUENCE(Perfil!C9)</f>
        <v>1</v>
      </c>
      <c r="B20" s="47">
        <f>Perfil!C5</f>
        <v>5000</v>
      </c>
      <c r="C20" s="47">
        <f>Perfil!$C$6</f>
        <v>1000</v>
      </c>
      <c r="D20" s="47">
        <f>B20+C20</f>
        <v>6000</v>
      </c>
      <c r="E20" s="48">
        <f>$C$10</f>
        <v>8.4256721399064809E-3</v>
      </c>
      <c r="F20" s="47">
        <f>D20*E20</f>
        <v>50.554032839438882</v>
      </c>
      <c r="G20" s="58">
        <f>D20+F20</f>
        <v>6050.5540328394391</v>
      </c>
    </row>
    <row r="21" spans="1:7" ht="16.5">
      <c r="A21" s="49">
        <v>2</v>
      </c>
      <c r="B21" s="50">
        <f>IF(A21="","",G20)</f>
        <v>6050.5540328394391</v>
      </c>
      <c r="C21" s="47">
        <f>IF(A21="","",IF(MOD(A21-1,12)=0,C20*(1+Perfil!$C$7),C20))</f>
        <v>1000</v>
      </c>
      <c r="D21" s="47">
        <f>IF(A21="","",B21+C21)</f>
        <v>7050.5540328394391</v>
      </c>
      <c r="E21" s="48">
        <f t="shared" ref="E21:E84" si="0">IF(A21="","",$C$10)</f>
        <v>8.4256721399064809E-3</v>
      </c>
      <c r="F21" s="47">
        <f>IF(A21="","",D21*E21)</f>
        <v>59.405656685400544</v>
      </c>
      <c r="G21" s="47">
        <f>IF(A21="","",D21+F21)</f>
        <v>7109.9596895248396</v>
      </c>
    </row>
    <row r="22" spans="1:7" ht="16.5">
      <c r="A22" s="49">
        <v>3</v>
      </c>
      <c r="B22" s="50">
        <f t="shared" ref="B22:B85" si="1">IF(A22="","",G21)</f>
        <v>7109.9596895248396</v>
      </c>
      <c r="C22" s="47">
        <f>IF(A22="","",IF(MOD(A22-1,12)=0,C21*(1+Perfil!$C$7),C21))</f>
        <v>1000</v>
      </c>
      <c r="D22" s="47">
        <f t="shared" ref="D22:D85" si="2">IF(A22="","",B22+C22)</f>
        <v>8109.9596895248396</v>
      </c>
      <c r="E22" s="48">
        <f t="shared" si="0"/>
        <v>8.4256721399064809E-3</v>
      </c>
      <c r="F22" s="47">
        <f t="shared" ref="F22:F85" si="3">IF(A22="","",D22*E22)</f>
        <v>68.331861411794051</v>
      </c>
      <c r="G22" s="47">
        <f t="shared" ref="G22:G85" si="4">IF(A22="","",D22+F22)</f>
        <v>8178.2915509366339</v>
      </c>
    </row>
    <row r="23" spans="1:7" ht="16.5">
      <c r="A23" s="49">
        <v>4</v>
      </c>
      <c r="B23" s="50">
        <f t="shared" si="1"/>
        <v>8178.2915509366339</v>
      </c>
      <c r="C23" s="47">
        <f>IF(A23="","",IF(MOD(A23-1,12)=0,C22*(1+Perfil!$C$7),C22))</f>
        <v>1000</v>
      </c>
      <c r="D23" s="47">
        <f t="shared" si="2"/>
        <v>9178.2915509366339</v>
      </c>
      <c r="E23" s="48">
        <f t="shared" si="0"/>
        <v>8.4256721399064809E-3</v>
      </c>
      <c r="F23" s="47">
        <f t="shared" si="3"/>
        <v>77.333275412665841</v>
      </c>
      <c r="G23" s="47">
        <f t="shared" si="4"/>
        <v>9255.6248263492998</v>
      </c>
    </row>
    <row r="24" spans="1:7" ht="16.5">
      <c r="A24" s="49">
        <v>5</v>
      </c>
      <c r="B24" s="50">
        <f t="shared" si="1"/>
        <v>9255.6248263492998</v>
      </c>
      <c r="C24" s="47">
        <f>IF(A24="","",IF(MOD(A24-1,12)=0,C23*(1+Perfil!$C$7),C23))</f>
        <v>1000</v>
      </c>
      <c r="D24" s="47">
        <f t="shared" si="2"/>
        <v>10255.6248263493</v>
      </c>
      <c r="E24" s="48">
        <f t="shared" si="0"/>
        <v>8.4256721399064809E-3</v>
      </c>
      <c r="F24" s="47">
        <f t="shared" si="3"/>
        <v>86.410532376704538</v>
      </c>
      <c r="G24" s="47">
        <f t="shared" si="4"/>
        <v>10342.035358726005</v>
      </c>
    </row>
    <row r="25" spans="1:7" ht="16.5">
      <c r="A25" s="49">
        <v>6</v>
      </c>
      <c r="B25" s="50">
        <f t="shared" si="1"/>
        <v>10342.035358726005</v>
      </c>
      <c r="C25" s="47">
        <f>IF(A25="","",IF(MOD(A25-1,12)=0,C24*(1+Perfil!$C$7),C24))</f>
        <v>1000</v>
      </c>
      <c r="D25" s="47">
        <f t="shared" si="2"/>
        <v>11342.035358726005</v>
      </c>
      <c r="E25" s="48">
        <f t="shared" si="0"/>
        <v>8.4256721399064809E-3</v>
      </c>
      <c r="F25" s="47">
        <f t="shared" si="3"/>
        <v>95.564271331851913</v>
      </c>
      <c r="G25" s="47">
        <f t="shared" si="4"/>
        <v>11437.599630057857</v>
      </c>
    </row>
    <row r="26" spans="1:7" ht="16.5">
      <c r="A26" s="49">
        <v>7</v>
      </c>
      <c r="B26" s="50">
        <f t="shared" si="1"/>
        <v>11437.599630057857</v>
      </c>
      <c r="C26" s="47">
        <f>IF(A26="","",IF(MOD(A26-1,12)=0,C25*(1+Perfil!$C$7),C25))</f>
        <v>1000</v>
      </c>
      <c r="D26" s="47">
        <f t="shared" si="2"/>
        <v>12437.599630057857</v>
      </c>
      <c r="E26" s="48">
        <f t="shared" si="0"/>
        <v>8.4256721399064809E-3</v>
      </c>
      <c r="F26" s="47">
        <f t="shared" si="3"/>
        <v>104.79513669028964</v>
      </c>
      <c r="G26" s="47">
        <f t="shared" si="4"/>
        <v>12542.394766748146</v>
      </c>
    </row>
    <row r="27" spans="1:7" ht="16.5">
      <c r="A27" s="49">
        <v>8</v>
      </c>
      <c r="B27" s="50">
        <f t="shared" si="1"/>
        <v>12542.394766748146</v>
      </c>
      <c r="C27" s="47">
        <f>IF(A27="","",IF(MOD(A27-1,12)=0,C26*(1+Perfil!$C$7),C26))</f>
        <v>1000</v>
      </c>
      <c r="D27" s="47">
        <f t="shared" si="2"/>
        <v>13542.394766748146</v>
      </c>
      <c r="E27" s="48">
        <f t="shared" si="0"/>
        <v>8.4256721399064809E-3</v>
      </c>
      <c r="F27" s="47">
        <f t="shared" si="3"/>
        <v>114.10377829380518</v>
      </c>
      <c r="G27" s="47">
        <f t="shared" si="4"/>
        <v>13656.498545041952</v>
      </c>
    </row>
    <row r="28" spans="1:7" ht="16.5">
      <c r="A28" s="49">
        <v>9</v>
      </c>
      <c r="B28" s="50">
        <f t="shared" si="1"/>
        <v>13656.498545041952</v>
      </c>
      <c r="C28" s="47">
        <f>IF(A28="","",IF(MOD(A28-1,12)=0,C27*(1+Perfil!$C$7),C27))</f>
        <v>1000</v>
      </c>
      <c r="D28" s="47">
        <f t="shared" si="2"/>
        <v>14656.498545041952</v>
      </c>
      <c r="E28" s="48">
        <f t="shared" si="0"/>
        <v>8.4256721399064809E-3</v>
      </c>
      <c r="F28" s="47">
        <f t="shared" si="3"/>
        <v>123.49085145953984</v>
      </c>
      <c r="G28" s="47">
        <f t="shared" si="4"/>
        <v>14779.989396501491</v>
      </c>
    </row>
    <row r="29" spans="1:7" ht="16.5">
      <c r="A29" s="49">
        <v>10</v>
      </c>
      <c r="B29" s="50">
        <f t="shared" si="1"/>
        <v>14779.989396501491</v>
      </c>
      <c r="C29" s="47">
        <f>IF(A29="","",IF(MOD(A29-1,12)=0,C28*(1+Perfil!$C$7),C28))</f>
        <v>1000</v>
      </c>
      <c r="D29" s="47">
        <f t="shared" si="2"/>
        <v>15779.989396501491</v>
      </c>
      <c r="E29" s="48">
        <f t="shared" si="0"/>
        <v>8.4256721399064809E-3</v>
      </c>
      <c r="F29" s="47">
        <f t="shared" si="3"/>
        <v>132.95701702612229</v>
      </c>
      <c r="G29" s="47">
        <f t="shared" si="4"/>
        <v>15912.946413527614</v>
      </c>
    </row>
    <row r="30" spans="1:7" ht="16.5">
      <c r="A30" s="49">
        <v>11</v>
      </c>
      <c r="B30" s="50">
        <f t="shared" si="1"/>
        <v>15912.946413527614</v>
      </c>
      <c r="C30" s="47">
        <f>IF(A30="","",IF(MOD(A30-1,12)=0,C29*(1+Perfil!$C$7),C29))</f>
        <v>1000</v>
      </c>
      <c r="D30" s="47">
        <f t="shared" si="2"/>
        <v>16912.946413527614</v>
      </c>
      <c r="E30" s="48">
        <f t="shared" si="0"/>
        <v>8.4256721399064809E-3</v>
      </c>
      <c r="F30" s="47">
        <f t="shared" si="3"/>
        <v>142.50294140019085</v>
      </c>
      <c r="G30" s="47">
        <f t="shared" si="4"/>
        <v>17055.449354927805</v>
      </c>
    </row>
    <row r="31" spans="1:7" ht="16.5">
      <c r="A31" s="49">
        <v>12</v>
      </c>
      <c r="B31" s="50">
        <f t="shared" si="1"/>
        <v>17055.449354927805</v>
      </c>
      <c r="C31" s="47">
        <f>IF(A31="","",IF(MOD(A31-1,12)=0,C30*(1+Perfil!$C$7),C30))</f>
        <v>1000</v>
      </c>
      <c r="D31" s="47">
        <f t="shared" si="2"/>
        <v>18055.449354927805</v>
      </c>
      <c r="E31" s="48">
        <f t="shared" si="0"/>
        <v>8.4256721399064809E-3</v>
      </c>
      <c r="F31" s="47">
        <f t="shared" si="3"/>
        <v>152.12929660330764</v>
      </c>
      <c r="G31" s="47">
        <f t="shared" si="4"/>
        <v>18207.578651531112</v>
      </c>
    </row>
    <row r="32" spans="1:7" ht="16.5">
      <c r="A32" s="49">
        <v>13</v>
      </c>
      <c r="B32" s="50">
        <f t="shared" si="1"/>
        <v>18207.578651531112</v>
      </c>
      <c r="C32" s="47">
        <f>IF(A32="","",IF(MOD(A32-1,12)=0,C31*(1+Perfil!$C$7),C31))</f>
        <v>1100</v>
      </c>
      <c r="D32" s="47">
        <f t="shared" si="2"/>
        <v>19307.578651531112</v>
      </c>
      <c r="E32" s="48">
        <f t="shared" si="0"/>
        <v>8.4256721399064809E-3</v>
      </c>
      <c r="F32" s="47">
        <f t="shared" si="3"/>
        <v>162.67932753325883</v>
      </c>
      <c r="G32" s="47">
        <f t="shared" si="4"/>
        <v>19470.257979064372</v>
      </c>
    </row>
    <row r="33" spans="1:7" ht="16.5">
      <c r="A33" s="49">
        <v>14</v>
      </c>
      <c r="B33" s="50">
        <f t="shared" si="1"/>
        <v>19470.257979064372</v>
      </c>
      <c r="C33" s="47">
        <f>IF(A33="","",IF(MOD(A33-1,12)=0,C32*(1+Perfil!$C$7),C32))</f>
        <v>1100</v>
      </c>
      <c r="D33" s="47">
        <f t="shared" si="2"/>
        <v>20570.257979064372</v>
      </c>
      <c r="E33" s="48">
        <f t="shared" si="0"/>
        <v>8.4256721399064809E-3</v>
      </c>
      <c r="F33" s="47">
        <f t="shared" si="3"/>
        <v>173.31824956489166</v>
      </c>
      <c r="G33" s="47">
        <f t="shared" si="4"/>
        <v>20743.576228629263</v>
      </c>
    </row>
    <row r="34" spans="1:7" ht="16.5">
      <c r="A34" s="49">
        <v>15</v>
      </c>
      <c r="B34" s="50">
        <f t="shared" si="1"/>
        <v>20743.576228629263</v>
      </c>
      <c r="C34" s="47">
        <f>IF(A34="","",IF(MOD(A34-1,12)=0,C33*(1+Perfil!$C$7),C33))</f>
        <v>1100</v>
      </c>
      <c r="D34" s="47">
        <f t="shared" si="2"/>
        <v>21843.576228629263</v>
      </c>
      <c r="E34" s="48">
        <f t="shared" si="0"/>
        <v>8.4256721399064809E-3</v>
      </c>
      <c r="F34" s="47">
        <f t="shared" si="3"/>
        <v>184.04681166548505</v>
      </c>
      <c r="G34" s="47">
        <f t="shared" si="4"/>
        <v>22027.623040294748</v>
      </c>
    </row>
    <row r="35" spans="1:7" ht="16.5">
      <c r="A35" s="49">
        <v>16</v>
      </c>
      <c r="B35" s="50">
        <f t="shared" si="1"/>
        <v>22027.623040294748</v>
      </c>
      <c r="C35" s="47">
        <f>IF(A35="","",IF(MOD(A35-1,12)=0,C34*(1+Perfil!$C$7),C34))</f>
        <v>1100</v>
      </c>
      <c r="D35" s="47">
        <f t="shared" si="2"/>
        <v>23127.623040294748</v>
      </c>
      <c r="E35" s="48">
        <f t="shared" si="0"/>
        <v>8.4256721399064809E-3</v>
      </c>
      <c r="F35" s="47">
        <f t="shared" si="3"/>
        <v>194.86576911287068</v>
      </c>
      <c r="G35" s="47">
        <f t="shared" si="4"/>
        <v>23322.48880940762</v>
      </c>
    </row>
    <row r="36" spans="1:7" ht="16.5">
      <c r="A36" s="49">
        <v>17</v>
      </c>
      <c r="B36" s="50">
        <f t="shared" si="1"/>
        <v>23322.48880940762</v>
      </c>
      <c r="C36" s="47">
        <f>IF(A36="","",IF(MOD(A36-1,12)=0,C35*(1+Perfil!$C$7),C35))</f>
        <v>1100</v>
      </c>
      <c r="D36" s="47">
        <f t="shared" si="2"/>
        <v>24422.48880940762</v>
      </c>
      <c r="E36" s="48">
        <f t="shared" si="0"/>
        <v>8.4256721399064809E-3</v>
      </c>
      <c r="F36" s="47">
        <f t="shared" si="3"/>
        <v>205.77588354860359</v>
      </c>
      <c r="G36" s="47">
        <f t="shared" si="4"/>
        <v>24628.264692956222</v>
      </c>
    </row>
    <row r="37" spans="1:7" ht="16.5">
      <c r="A37" s="49">
        <v>18</v>
      </c>
      <c r="B37" s="50">
        <f t="shared" si="1"/>
        <v>24628.264692956222</v>
      </c>
      <c r="C37" s="47">
        <f>IF(A37="","",IF(MOD(A37-1,12)=0,C36*(1+Perfil!$C$7),C36))</f>
        <v>1100</v>
      </c>
      <c r="D37" s="47">
        <f t="shared" si="2"/>
        <v>25728.264692956222</v>
      </c>
      <c r="E37" s="48">
        <f t="shared" si="0"/>
        <v>8.4256721399064809E-3</v>
      </c>
      <c r="F37" s="47">
        <f t="shared" si="3"/>
        <v>216.7779230315808</v>
      </c>
      <c r="G37" s="47">
        <f t="shared" si="4"/>
        <v>25945.042615987801</v>
      </c>
    </row>
    <row r="38" spans="1:7" ht="16.5">
      <c r="A38" s="49">
        <v>19</v>
      </c>
      <c r="B38" s="50">
        <f t="shared" si="1"/>
        <v>25945.042615987801</v>
      </c>
      <c r="C38" s="47">
        <f>IF(A38="","",IF(MOD(A38-1,12)=0,C37*(1+Perfil!$C$7),C37))</f>
        <v>1100</v>
      </c>
      <c r="D38" s="47">
        <f t="shared" si="2"/>
        <v>27045.042615987801</v>
      </c>
      <c r="E38" s="48">
        <f t="shared" si="0"/>
        <v>8.4256721399064809E-3</v>
      </c>
      <c r="F38" s="47">
        <f t="shared" si="3"/>
        <v>227.87266209211191</v>
      </c>
      <c r="G38" s="47">
        <f t="shared" si="4"/>
        <v>27272.915278079912</v>
      </c>
    </row>
    <row r="39" spans="1:7" ht="16.5">
      <c r="A39" s="49">
        <v>20</v>
      </c>
      <c r="B39" s="50">
        <f t="shared" si="1"/>
        <v>27272.915278079912</v>
      </c>
      <c r="C39" s="47">
        <f>IF(A39="","",IF(MOD(A39-1,12)=0,C38*(1+Perfil!$C$7),C38))</f>
        <v>1100</v>
      </c>
      <c r="D39" s="47">
        <f t="shared" si="2"/>
        <v>28372.915278079912</v>
      </c>
      <c r="E39" s="48">
        <f t="shared" si="0"/>
        <v>8.4256721399064809E-3</v>
      </c>
      <c r="F39" s="47">
        <f t="shared" si="3"/>
        <v>239.06088178644487</v>
      </c>
      <c r="G39" s="47">
        <f t="shared" si="4"/>
        <v>28611.976159866357</v>
      </c>
    </row>
    <row r="40" spans="1:7" ht="16.5">
      <c r="A40" s="49">
        <v>21</v>
      </c>
      <c r="B40" s="50">
        <f t="shared" si="1"/>
        <v>28611.976159866357</v>
      </c>
      <c r="C40" s="47">
        <f>IF(A40="","",IF(MOD(A40-1,12)=0,C39*(1+Perfil!$C$7),C39))</f>
        <v>1100</v>
      </c>
      <c r="D40" s="47">
        <f t="shared" si="2"/>
        <v>29711.976159866357</v>
      </c>
      <c r="E40" s="48">
        <f t="shared" si="0"/>
        <v>8.4256721399064809E-3</v>
      </c>
      <c r="F40" s="47">
        <f t="shared" si="3"/>
        <v>250.34336975175151</v>
      </c>
      <c r="G40" s="47">
        <f t="shared" si="4"/>
        <v>29962.319529618107</v>
      </c>
    </row>
    <row r="41" spans="1:7" ht="16.5">
      <c r="A41" s="49">
        <v>22</v>
      </c>
      <c r="B41" s="50">
        <f t="shared" si="1"/>
        <v>29962.319529618107</v>
      </c>
      <c r="C41" s="47">
        <f>IF(A41="","",IF(MOD(A41-1,12)=0,C40*(1+Perfil!$C$7),C40))</f>
        <v>1100</v>
      </c>
      <c r="D41" s="47">
        <f t="shared" si="2"/>
        <v>31062.319529618107</v>
      </c>
      <c r="E41" s="48">
        <f t="shared" si="0"/>
        <v>8.4256721399064809E-3</v>
      </c>
      <c r="F41" s="47">
        <f t="shared" si="3"/>
        <v>261.72092026157628</v>
      </c>
      <c r="G41" s="47">
        <f t="shared" si="4"/>
        <v>31324.040449879685</v>
      </c>
    </row>
    <row r="42" spans="1:7" ht="16.5">
      <c r="A42" s="49">
        <v>23</v>
      </c>
      <c r="B42" s="50">
        <f t="shared" si="1"/>
        <v>31324.040449879685</v>
      </c>
      <c r="C42" s="47">
        <f>IF(A42="","",IF(MOD(A42-1,12)=0,C41*(1+Perfil!$C$7),C41))</f>
        <v>1100</v>
      </c>
      <c r="D42" s="47">
        <f t="shared" si="2"/>
        <v>32424.040449879685</v>
      </c>
      <c r="E42" s="48">
        <f t="shared" si="0"/>
        <v>8.4256721399064809E-3</v>
      </c>
      <c r="F42" s="47">
        <f t="shared" si="3"/>
        <v>273.19433428175205</v>
      </c>
      <c r="G42" s="47">
        <f t="shared" si="4"/>
        <v>32697.234784161436</v>
      </c>
    </row>
    <row r="43" spans="1:7" ht="16.5">
      <c r="A43" s="49">
        <v>24</v>
      </c>
      <c r="B43" s="50">
        <f t="shared" si="1"/>
        <v>32697.234784161436</v>
      </c>
      <c r="C43" s="47">
        <f>IF(A43="","",IF(MOD(A43-1,12)=0,C42*(1+Perfil!$C$7),C42))</f>
        <v>1100</v>
      </c>
      <c r="D43" s="47">
        <f t="shared" si="2"/>
        <v>33797.234784161439</v>
      </c>
      <c r="E43" s="48">
        <f t="shared" si="0"/>
        <v>8.4256721399064809E-3</v>
      </c>
      <c r="F43" s="47">
        <f t="shared" si="3"/>
        <v>284.76441952678726</v>
      </c>
      <c r="G43" s="47">
        <f t="shared" si="4"/>
        <v>34081.999203688225</v>
      </c>
    </row>
    <row r="44" spans="1:7" ht="16.5">
      <c r="A44" s="49">
        <v>25</v>
      </c>
      <c r="B44" s="50">
        <f t="shared" si="1"/>
        <v>34081.999203688225</v>
      </c>
      <c r="C44" s="47">
        <f>IF(A44="","",IF(MOD(A44-1,12)=0,C43*(1+Perfil!$C$7),C43))</f>
        <v>1210</v>
      </c>
      <c r="D44" s="47">
        <f t="shared" si="2"/>
        <v>35291.999203688225</v>
      </c>
      <c r="E44" s="48">
        <f t="shared" si="0"/>
        <v>8.4256721399064809E-3</v>
      </c>
      <c r="F44" s="47">
        <f t="shared" si="3"/>
        <v>297.3588144521176</v>
      </c>
      <c r="G44" s="47">
        <f t="shared" si="4"/>
        <v>35589.358018140345</v>
      </c>
    </row>
    <row r="45" spans="1:7" ht="16.5">
      <c r="A45" s="49">
        <v>26</v>
      </c>
      <c r="B45" s="50">
        <f t="shared" si="1"/>
        <v>35589.358018140345</v>
      </c>
      <c r="C45" s="47">
        <f>IF(A45="","",IF(MOD(A45-1,12)=0,C44*(1+Perfil!$C$7),C44))</f>
        <v>1210</v>
      </c>
      <c r="D45" s="47">
        <f t="shared" si="2"/>
        <v>36799.358018140345</v>
      </c>
      <c r="E45" s="48">
        <f t="shared" si="0"/>
        <v>8.4256721399064809E-3</v>
      </c>
      <c r="F45" s="47">
        <f t="shared" si="3"/>
        <v>310.05932561988925</v>
      </c>
      <c r="G45" s="47">
        <f t="shared" si="4"/>
        <v>37109.417343760237</v>
      </c>
    </row>
    <row r="46" spans="1:7" ht="16.5">
      <c r="A46" s="49">
        <v>27</v>
      </c>
      <c r="B46" s="50">
        <f t="shared" si="1"/>
        <v>37109.417343760237</v>
      </c>
      <c r="C46" s="47">
        <f>IF(A46="","",IF(MOD(A46-1,12)=0,C45*(1+Perfil!$C$7),C45))</f>
        <v>1210</v>
      </c>
      <c r="D46" s="47">
        <f t="shared" si="2"/>
        <v>38319.417343760237</v>
      </c>
      <c r="E46" s="48">
        <f t="shared" si="0"/>
        <v>8.4256721399064809E-3</v>
      </c>
      <c r="F46" s="47">
        <f t="shared" si="3"/>
        <v>322.86684713076983</v>
      </c>
      <c r="G46" s="47">
        <f t="shared" si="4"/>
        <v>38642.284190891005</v>
      </c>
    </row>
    <row r="47" spans="1:7" ht="16.5">
      <c r="A47" s="49">
        <v>28</v>
      </c>
      <c r="B47" s="50">
        <f t="shared" si="1"/>
        <v>38642.284190891005</v>
      </c>
      <c r="C47" s="47">
        <f>IF(A47="","",IF(MOD(A47-1,12)=0,C46*(1+Perfil!$C$7),C46))</f>
        <v>1210</v>
      </c>
      <c r="D47" s="47">
        <f t="shared" si="2"/>
        <v>39852.284190891005</v>
      </c>
      <c r="E47" s="48">
        <f t="shared" si="0"/>
        <v>8.4256721399064809E-3</v>
      </c>
      <c r="F47" s="47">
        <f t="shared" si="3"/>
        <v>335.78228061882584</v>
      </c>
      <c r="G47" s="47">
        <f t="shared" si="4"/>
        <v>40188.066471509832</v>
      </c>
    </row>
    <row r="48" spans="1:7" ht="16.5">
      <c r="A48" s="49">
        <v>29</v>
      </c>
      <c r="B48" s="50">
        <f t="shared" si="1"/>
        <v>40188.066471509832</v>
      </c>
      <c r="C48" s="47">
        <f>IF(A48="","",IF(MOD(A48-1,12)=0,C47*(1+Perfil!$C$7),C47))</f>
        <v>1210</v>
      </c>
      <c r="D48" s="47">
        <f t="shared" si="2"/>
        <v>41398.066471509832</v>
      </c>
      <c r="E48" s="48">
        <f t="shared" si="0"/>
        <v>8.4256721399064809E-3</v>
      </c>
      <c r="F48" s="47">
        <f t="shared" si="3"/>
        <v>348.80653531499701</v>
      </c>
      <c r="G48" s="47">
        <f t="shared" si="4"/>
        <v>41746.873006824826</v>
      </c>
    </row>
    <row r="49" spans="1:7" ht="16.5">
      <c r="A49" s="49">
        <v>30</v>
      </c>
      <c r="B49" s="50">
        <f t="shared" si="1"/>
        <v>41746.873006824826</v>
      </c>
      <c r="C49" s="47">
        <f>IF(A49="","",IF(MOD(A49-1,12)=0,C48*(1+Perfil!$C$7),C48))</f>
        <v>1210</v>
      </c>
      <c r="D49" s="47">
        <f t="shared" si="2"/>
        <v>42956.873006824826</v>
      </c>
      <c r="E49" s="48">
        <f t="shared" si="0"/>
        <v>8.4256721399064809E-3</v>
      </c>
      <c r="F49" s="47">
        <f t="shared" si="3"/>
        <v>361.9405281111047</v>
      </c>
      <c r="G49" s="47">
        <f t="shared" si="4"/>
        <v>43318.813534935929</v>
      </c>
    </row>
    <row r="50" spans="1:7" ht="16.5">
      <c r="A50" s="49">
        <v>31</v>
      </c>
      <c r="B50" s="50">
        <f t="shared" si="1"/>
        <v>43318.813534935929</v>
      </c>
      <c r="C50" s="47">
        <f>IF(A50="","",IF(MOD(A50-1,12)=0,C49*(1+Perfil!$C$7),C49))</f>
        <v>1210</v>
      </c>
      <c r="D50" s="47">
        <f t="shared" si="2"/>
        <v>44528.813534935929</v>
      </c>
      <c r="E50" s="48">
        <f t="shared" si="0"/>
        <v>8.4256721399064809E-3</v>
      </c>
      <c r="F50" s="47">
        <f t="shared" si="3"/>
        <v>375.18518362440028</v>
      </c>
      <c r="G50" s="47">
        <f t="shared" si="4"/>
        <v>44903.998718560331</v>
      </c>
    </row>
    <row r="51" spans="1:7" ht="16.5">
      <c r="A51" s="49">
        <v>32</v>
      </c>
      <c r="B51" s="50">
        <f t="shared" si="1"/>
        <v>44903.998718560331</v>
      </c>
      <c r="C51" s="47">
        <f>IF(A51="","",IF(MOD(A51-1,12)=0,C50*(1+Perfil!$C$7),C50))</f>
        <v>1210</v>
      </c>
      <c r="D51" s="47">
        <f t="shared" si="2"/>
        <v>46113.998718560331</v>
      </c>
      <c r="E51" s="48">
        <f t="shared" si="0"/>
        <v>8.4256721399064809E-3</v>
      </c>
      <c r="F51" s="47">
        <f t="shared" si="3"/>
        <v>388.54143426265694</v>
      </c>
      <c r="G51" s="47">
        <f t="shared" si="4"/>
        <v>46502.540152822985</v>
      </c>
    </row>
    <row r="52" spans="1:7" ht="16.5">
      <c r="A52" s="49">
        <v>33</v>
      </c>
      <c r="B52" s="50">
        <f t="shared" si="1"/>
        <v>46502.540152822985</v>
      </c>
      <c r="C52" s="47">
        <f>IF(A52="","",IF(MOD(A52-1,12)=0,C51*(1+Perfil!$C$7),C51))</f>
        <v>1210</v>
      </c>
      <c r="D52" s="47">
        <f t="shared" si="2"/>
        <v>47712.540152822985</v>
      </c>
      <c r="E52" s="48">
        <f t="shared" si="0"/>
        <v>8.4256721399064809E-3</v>
      </c>
      <c r="F52" s="47">
        <f t="shared" si="3"/>
        <v>402.01022028980992</v>
      </c>
      <c r="G52" s="47">
        <f t="shared" si="4"/>
        <v>48114.550373112797</v>
      </c>
    </row>
    <row r="53" spans="1:7" ht="16.5">
      <c r="A53" s="49">
        <v>34</v>
      </c>
      <c r="B53" s="50">
        <f t="shared" si="1"/>
        <v>48114.550373112797</v>
      </c>
      <c r="C53" s="47">
        <f>IF(A53="","",IF(MOD(A53-1,12)=0,C52*(1+Perfil!$C$7),C52))</f>
        <v>1210</v>
      </c>
      <c r="D53" s="47">
        <f t="shared" si="2"/>
        <v>49324.550373112797</v>
      </c>
      <c r="E53" s="48">
        <f t="shared" si="0"/>
        <v>8.4256721399064809E-3</v>
      </c>
      <c r="F53" s="47">
        <f t="shared" si="3"/>
        <v>415.5924898921503</v>
      </c>
      <c r="G53" s="47">
        <f t="shared" si="4"/>
        <v>49740.142863004949</v>
      </c>
    </row>
    <row r="54" spans="1:7" ht="16.5">
      <c r="A54" s="49">
        <v>35</v>
      </c>
      <c r="B54" s="50">
        <f t="shared" si="1"/>
        <v>49740.142863004949</v>
      </c>
      <c r="C54" s="47">
        <f>IF(A54="","",IF(MOD(A54-1,12)=0,C53*(1+Perfil!$C$7),C53))</f>
        <v>1210</v>
      </c>
      <c r="D54" s="47">
        <f t="shared" si="2"/>
        <v>50950.142863004949</v>
      </c>
      <c r="E54" s="48">
        <f t="shared" si="0"/>
        <v>8.4256721399064809E-3</v>
      </c>
      <c r="F54" s="47">
        <f t="shared" si="3"/>
        <v>429.28919924507579</v>
      </c>
      <c r="G54" s="47">
        <f t="shared" si="4"/>
        <v>51379.432062250024</v>
      </c>
    </row>
    <row r="55" spans="1:7" ht="16.5">
      <c r="A55" s="49">
        <v>36</v>
      </c>
      <c r="B55" s="50">
        <f t="shared" si="1"/>
        <v>51379.432062250024</v>
      </c>
      <c r="C55" s="47">
        <f>IF(A55="","",IF(MOD(A55-1,12)=0,C54*(1+Perfil!$C$7),C54))</f>
        <v>1210</v>
      </c>
      <c r="D55" s="47">
        <f t="shared" si="2"/>
        <v>52589.432062250024</v>
      </c>
      <c r="E55" s="48">
        <f t="shared" si="0"/>
        <v>8.4256721399064809E-3</v>
      </c>
      <c r="F55" s="47">
        <f t="shared" si="3"/>
        <v>443.10131258040462</v>
      </c>
      <c r="G55" s="47">
        <f t="shared" si="4"/>
        <v>53032.533374830426</v>
      </c>
    </row>
    <row r="56" spans="1:7" ht="16.5">
      <c r="A56" s="49">
        <v>37</v>
      </c>
      <c r="B56" s="50">
        <f t="shared" si="1"/>
        <v>53032.533374830426</v>
      </c>
      <c r="C56" s="47">
        <f>IF(A56="","",IF(MOD(A56-1,12)=0,C55*(1+Perfil!$C$7),C55))</f>
        <v>1331</v>
      </c>
      <c r="D56" s="47">
        <f t="shared" si="2"/>
        <v>54363.533374830426</v>
      </c>
      <c r="E56" s="48">
        <f t="shared" si="0"/>
        <v>8.4256721399064809E-3</v>
      </c>
      <c r="F56" s="47">
        <f t="shared" si="3"/>
        <v>458.04930858318488</v>
      </c>
      <c r="G56" s="47">
        <f t="shared" si="4"/>
        <v>54821.58268341361</v>
      </c>
    </row>
    <row r="57" spans="1:7" ht="16.5">
      <c r="A57" s="49">
        <v>38</v>
      </c>
      <c r="B57" s="50">
        <f t="shared" si="1"/>
        <v>54821.58268341361</v>
      </c>
      <c r="C57" s="47">
        <f>IF(A57="","",IF(MOD(A57-1,12)=0,C56*(1+Perfil!$C$7),C56))</f>
        <v>1331</v>
      </c>
      <c r="D57" s="47">
        <f t="shared" si="2"/>
        <v>56152.58268341361</v>
      </c>
      <c r="E57" s="48">
        <f t="shared" si="0"/>
        <v>8.4256721399064809E-3</v>
      </c>
      <c r="F57" s="47">
        <f t="shared" si="3"/>
        <v>473.12325149943314</v>
      </c>
      <c r="G57" s="47">
        <f t="shared" si="4"/>
        <v>56625.705934913043</v>
      </c>
    </row>
    <row r="58" spans="1:7" ht="16.5">
      <c r="A58" s="49">
        <v>39</v>
      </c>
      <c r="B58" s="50">
        <f t="shared" si="1"/>
        <v>56625.705934913043</v>
      </c>
      <c r="C58" s="47">
        <f>IF(A58="","",IF(MOD(A58-1,12)=0,C57*(1+Perfil!$C$7),C57))</f>
        <v>1331</v>
      </c>
      <c r="D58" s="47">
        <f t="shared" si="2"/>
        <v>57956.705934913043</v>
      </c>
      <c r="E58" s="48">
        <f t="shared" si="0"/>
        <v>8.4256721399064809E-3</v>
      </c>
      <c r="F58" s="47">
        <f t="shared" si="3"/>
        <v>488.32420251654941</v>
      </c>
      <c r="G58" s="47">
        <f t="shared" si="4"/>
        <v>58445.030137429596</v>
      </c>
    </row>
    <row r="59" spans="1:7" ht="16.5">
      <c r="A59" s="49">
        <v>40</v>
      </c>
      <c r="B59" s="50">
        <f t="shared" si="1"/>
        <v>58445.030137429596</v>
      </c>
      <c r="C59" s="47">
        <f>IF(A59="","",IF(MOD(A59-1,12)=0,C58*(1+Perfil!$C$7),C58))</f>
        <v>1331</v>
      </c>
      <c r="D59" s="47">
        <f t="shared" si="2"/>
        <v>59776.030137429596</v>
      </c>
      <c r="E59" s="48">
        <f t="shared" si="0"/>
        <v>8.4256721399064809E-3</v>
      </c>
      <c r="F59" s="47">
        <f t="shared" si="3"/>
        <v>503.6532317631507</v>
      </c>
      <c r="G59" s="47">
        <f t="shared" si="4"/>
        <v>60279.683369192746</v>
      </c>
    </row>
    <row r="60" spans="1:7" ht="16.5">
      <c r="A60" s="49">
        <v>41</v>
      </c>
      <c r="B60" s="50">
        <f t="shared" si="1"/>
        <v>60279.683369192746</v>
      </c>
      <c r="C60" s="47">
        <f>IF(A60="","",IF(MOD(A60-1,12)=0,C59*(1+Perfil!$C$7),C59))</f>
        <v>1331</v>
      </c>
      <c r="D60" s="47">
        <f t="shared" si="2"/>
        <v>61610.683369192746</v>
      </c>
      <c r="E60" s="48">
        <f t="shared" si="0"/>
        <v>8.4256721399064809E-3</v>
      </c>
      <c r="F60" s="47">
        <f t="shared" si="3"/>
        <v>519.11141838440687</v>
      </c>
      <c r="G60" s="47">
        <f t="shared" si="4"/>
        <v>62129.79478757715</v>
      </c>
    </row>
    <row r="61" spans="1:7" ht="16.5">
      <c r="A61" s="49">
        <v>42</v>
      </c>
      <c r="B61" s="50">
        <f t="shared" si="1"/>
        <v>62129.79478757715</v>
      </c>
      <c r="C61" s="47">
        <f>IF(A61="","",IF(MOD(A61-1,12)=0,C60*(1+Perfil!$C$7),C60))</f>
        <v>1331</v>
      </c>
      <c r="D61" s="47">
        <f t="shared" si="2"/>
        <v>63460.79478757715</v>
      </c>
      <c r="E61" s="48">
        <f t="shared" si="0"/>
        <v>8.4256721399064809E-3</v>
      </c>
      <c r="F61" s="47">
        <f t="shared" si="3"/>
        <v>534.69985061801117</v>
      </c>
      <c r="G61" s="47">
        <f t="shared" si="4"/>
        <v>63995.494638195159</v>
      </c>
    </row>
    <row r="62" spans="1:7" ht="16.5">
      <c r="A62" s="49">
        <v>43</v>
      </c>
      <c r="B62" s="50">
        <f t="shared" si="1"/>
        <v>63995.494638195159</v>
      </c>
      <c r="C62" s="47">
        <f>IF(A62="","",IF(MOD(A62-1,12)=0,C61*(1+Perfil!$C$7),C61))</f>
        <v>1331</v>
      </c>
      <c r="D62" s="47">
        <f t="shared" si="2"/>
        <v>65326.494638195159</v>
      </c>
      <c r="E62" s="48">
        <f t="shared" si="0"/>
        <v>8.4256721399064809E-3</v>
      </c>
      <c r="F62" s="47">
        <f t="shared" si="3"/>
        <v>550.41962587079104</v>
      </c>
      <c r="G62" s="47">
        <f t="shared" si="4"/>
        <v>65876.914264065956</v>
      </c>
    </row>
    <row r="63" spans="1:7" ht="16.5">
      <c r="A63" s="49">
        <v>44</v>
      </c>
      <c r="B63" s="50">
        <f t="shared" si="1"/>
        <v>65876.914264065956</v>
      </c>
      <c r="C63" s="47">
        <f>IF(A63="","",IF(MOD(A63-1,12)=0,C62*(1+Perfil!$C$7),C62))</f>
        <v>1331</v>
      </c>
      <c r="D63" s="47">
        <f t="shared" si="2"/>
        <v>67207.914264065956</v>
      </c>
      <c r="E63" s="48">
        <f t="shared" si="0"/>
        <v>8.4256721399064809E-3</v>
      </c>
      <c r="F63" s="47">
        <f t="shared" si="3"/>
        <v>566.27185079596393</v>
      </c>
      <c r="G63" s="47">
        <f t="shared" si="4"/>
        <v>67774.186114861921</v>
      </c>
    </row>
    <row r="64" spans="1:7" ht="16.5">
      <c r="A64" s="49">
        <v>45</v>
      </c>
      <c r="B64" s="50">
        <f t="shared" si="1"/>
        <v>67774.186114861921</v>
      </c>
      <c r="C64" s="47">
        <f>IF(A64="","",IF(MOD(A64-1,12)=0,C63*(1+Perfil!$C$7),C63))</f>
        <v>1331</v>
      </c>
      <c r="D64" s="47">
        <f t="shared" si="2"/>
        <v>69105.186114861921</v>
      </c>
      <c r="E64" s="48">
        <f t="shared" si="0"/>
        <v>8.4256721399064809E-3</v>
      </c>
      <c r="F64" s="47">
        <f t="shared" si="3"/>
        <v>582.25764137104431</v>
      </c>
      <c r="G64" s="47">
        <f t="shared" si="4"/>
        <v>69687.443756232969</v>
      </c>
    </row>
    <row r="65" spans="1:7" ht="16.5">
      <c r="A65" s="49">
        <v>46</v>
      </c>
      <c r="B65" s="50">
        <f t="shared" si="1"/>
        <v>69687.443756232969</v>
      </c>
      <c r="C65" s="47">
        <f>IF(A65="","",IF(MOD(A65-1,12)=0,C64*(1+Perfil!$C$7),C64))</f>
        <v>1331</v>
      </c>
      <c r="D65" s="47">
        <f t="shared" si="2"/>
        <v>71018.443756232969</v>
      </c>
      <c r="E65" s="48">
        <f t="shared" si="0"/>
        <v>8.4256721399064809E-3</v>
      </c>
      <c r="F65" s="47">
        <f t="shared" si="3"/>
        <v>598.37812297640755</v>
      </c>
      <c r="G65" s="47">
        <f t="shared" si="4"/>
        <v>71616.821879209383</v>
      </c>
    </row>
    <row r="66" spans="1:7" ht="16.5">
      <c r="A66" s="49">
        <v>47</v>
      </c>
      <c r="B66" s="50">
        <f t="shared" si="1"/>
        <v>71616.821879209383</v>
      </c>
      <c r="C66" s="47">
        <f>IF(A66="","",IF(MOD(A66-1,12)=0,C65*(1+Perfil!$C$7),C65))</f>
        <v>1331</v>
      </c>
      <c r="D66" s="47">
        <f t="shared" si="2"/>
        <v>72947.821879209383</v>
      </c>
      <c r="E66" s="48">
        <f t="shared" si="0"/>
        <v>8.4256721399064809E-3</v>
      </c>
      <c r="F66" s="47">
        <f t="shared" si="3"/>
        <v>614.63443047451494</v>
      </c>
      <c r="G66" s="47">
        <f t="shared" si="4"/>
        <v>73562.456309683897</v>
      </c>
    </row>
    <row r="67" spans="1:7" ht="16.5">
      <c r="A67" s="49">
        <v>48</v>
      </c>
      <c r="B67" s="50">
        <f t="shared" si="1"/>
        <v>73562.456309683897</v>
      </c>
      <c r="C67" s="47">
        <f>IF(A67="","",IF(MOD(A67-1,12)=0,C66*(1+Perfil!$C$7),C66))</f>
        <v>1331</v>
      </c>
      <c r="D67" s="47">
        <f t="shared" si="2"/>
        <v>74893.456309683897</v>
      </c>
      <c r="E67" s="48">
        <f t="shared" si="0"/>
        <v>8.4256721399064809E-3</v>
      </c>
      <c r="F67" s="47">
        <f t="shared" si="3"/>
        <v>631.02770828980681</v>
      </c>
      <c r="G67" s="47">
        <f t="shared" si="4"/>
        <v>75524.484017973708</v>
      </c>
    </row>
    <row r="68" spans="1:7" ht="16.5">
      <c r="A68" s="49">
        <v>49</v>
      </c>
      <c r="B68" s="50">
        <f t="shared" si="1"/>
        <v>75524.484017973708</v>
      </c>
      <c r="C68" s="47">
        <f>IF(A68="","",IF(MOD(A68-1,12)=0,C67*(1+Perfil!$C$7),C67))</f>
        <v>1464.1000000000001</v>
      </c>
      <c r="D68" s="47">
        <f t="shared" si="2"/>
        <v>76988.584017973713</v>
      </c>
      <c r="E68" s="48">
        <f t="shared" si="0"/>
        <v>8.4256721399064809E-3</v>
      </c>
      <c r="F68" s="47">
        <f t="shared" si="3"/>
        <v>648.6805674510905</v>
      </c>
      <c r="G68" s="47">
        <f t="shared" si="4"/>
        <v>77637.264585424797</v>
      </c>
    </row>
    <row r="69" spans="1:7" ht="16.5">
      <c r="A69" s="49">
        <v>50</v>
      </c>
      <c r="B69" s="50">
        <f t="shared" si="1"/>
        <v>77637.264585424797</v>
      </c>
      <c r="C69" s="47">
        <f>IF(A69="","",IF(MOD(A69-1,12)=0,C68*(1+Perfil!$C$7),C68))</f>
        <v>1464.1000000000001</v>
      </c>
      <c r="D69" s="47">
        <f t="shared" si="2"/>
        <v>79101.364585424802</v>
      </c>
      <c r="E69" s="48">
        <f t="shared" si="0"/>
        <v>8.4256721399064809E-3</v>
      </c>
      <c r="F69" s="47">
        <f t="shared" si="3"/>
        <v>666.48216381599889</v>
      </c>
      <c r="G69" s="47">
        <f t="shared" si="4"/>
        <v>79767.846749240794</v>
      </c>
    </row>
    <row r="70" spans="1:7" ht="16.5">
      <c r="A70" s="49">
        <v>51</v>
      </c>
      <c r="B70" s="50">
        <f t="shared" si="1"/>
        <v>79767.846749240794</v>
      </c>
      <c r="C70" s="47">
        <f>IF(A70="","",IF(MOD(A70-1,12)=0,C69*(1+Perfil!$C$7),C69))</f>
        <v>1464.1000000000001</v>
      </c>
      <c r="D70" s="47">
        <f t="shared" si="2"/>
        <v>81231.9467492408</v>
      </c>
      <c r="E70" s="48">
        <f t="shared" si="0"/>
        <v>8.4256721399064809E-3</v>
      </c>
      <c r="F70" s="47">
        <f t="shared" si="3"/>
        <v>684.43375059544508</v>
      </c>
      <c r="G70" s="47">
        <f t="shared" si="4"/>
        <v>81916.380499836247</v>
      </c>
    </row>
    <row r="71" spans="1:7" ht="16.5">
      <c r="A71" s="49">
        <v>52</v>
      </c>
      <c r="B71" s="50">
        <f t="shared" si="1"/>
        <v>81916.380499836247</v>
      </c>
      <c r="C71" s="47">
        <f>IF(A71="","",IF(MOD(A71-1,12)=0,C70*(1+Perfil!$C$7),C70))</f>
        <v>1464.1000000000001</v>
      </c>
      <c r="D71" s="47">
        <f t="shared" si="2"/>
        <v>83380.480499836252</v>
      </c>
      <c r="E71" s="48">
        <f t="shared" si="0"/>
        <v>8.4256721399064809E-3</v>
      </c>
      <c r="F71" s="47">
        <f t="shared" si="3"/>
        <v>702.53659155948594</v>
      </c>
      <c r="G71" s="47">
        <f t="shared" si="4"/>
        <v>84083.017091395741</v>
      </c>
    </row>
    <row r="72" spans="1:7" ht="16.5">
      <c r="A72" s="49">
        <v>53</v>
      </c>
      <c r="B72" s="50">
        <f t="shared" si="1"/>
        <v>84083.017091395741</v>
      </c>
      <c r="C72" s="47">
        <f>IF(A72="","",IF(MOD(A72-1,12)=0,C71*(1+Perfil!$C$7),C71))</f>
        <v>1464.1000000000001</v>
      </c>
      <c r="D72" s="47">
        <f t="shared" si="2"/>
        <v>85547.117091395747</v>
      </c>
      <c r="E72" s="48">
        <f t="shared" si="0"/>
        <v>8.4256721399064809E-3</v>
      </c>
      <c r="F72" s="47">
        <f t="shared" si="3"/>
        <v>720.79196112629063</v>
      </c>
      <c r="G72" s="47">
        <f t="shared" si="4"/>
        <v>86267.909052522038</v>
      </c>
    </row>
    <row r="73" spans="1:7" ht="16.5">
      <c r="A73" s="49">
        <v>54</v>
      </c>
      <c r="B73" s="50">
        <f t="shared" si="1"/>
        <v>86267.909052522038</v>
      </c>
      <c r="C73" s="47">
        <f>IF(A73="","",IF(MOD(A73-1,12)=0,C72*(1+Perfil!$C$7),C72))</f>
        <v>1464.1000000000001</v>
      </c>
      <c r="D73" s="47">
        <f t="shared" si="2"/>
        <v>87732.009052522044</v>
      </c>
      <c r="E73" s="48">
        <f t="shared" si="0"/>
        <v>8.4256721399064809E-3</v>
      </c>
      <c r="F73" s="47">
        <f t="shared" si="3"/>
        <v>739.20114445185811</v>
      </c>
      <c r="G73" s="47">
        <f t="shared" si="4"/>
        <v>88471.210196973901</v>
      </c>
    </row>
    <row r="74" spans="1:7" ht="16.5">
      <c r="A74" s="49">
        <v>55</v>
      </c>
      <c r="B74" s="50">
        <f t="shared" si="1"/>
        <v>88471.210196973901</v>
      </c>
      <c r="C74" s="47">
        <f>IF(A74="","",IF(MOD(A74-1,12)=0,C73*(1+Perfil!$C$7),C73))</f>
        <v>1464.1000000000001</v>
      </c>
      <c r="D74" s="47">
        <f t="shared" si="2"/>
        <v>89935.310196973907</v>
      </c>
      <c r="E74" s="48">
        <f t="shared" si="0"/>
        <v>8.4256721399064809E-3</v>
      </c>
      <c r="F74" s="47">
        <f t="shared" si="3"/>
        <v>757.76543752049031</v>
      </c>
      <c r="G74" s="47">
        <f t="shared" si="4"/>
        <v>90693.075634494395</v>
      </c>
    </row>
    <row r="75" spans="1:7" ht="16.5">
      <c r="A75" s="49">
        <v>56</v>
      </c>
      <c r="B75" s="50">
        <f t="shared" si="1"/>
        <v>90693.075634494395</v>
      </c>
      <c r="C75" s="47">
        <f>IF(A75="","",IF(MOD(A75-1,12)=0,C74*(1+Perfil!$C$7),C74))</f>
        <v>1464.1000000000001</v>
      </c>
      <c r="D75" s="47">
        <f t="shared" si="2"/>
        <v>92157.175634494401</v>
      </c>
      <c r="E75" s="48">
        <f t="shared" si="0"/>
        <v>8.4256721399064809E-3</v>
      </c>
      <c r="F75" s="47">
        <f t="shared" si="3"/>
        <v>776.48614723602782</v>
      </c>
      <c r="G75" s="47">
        <f t="shared" si="4"/>
        <v>92933.661781730421</v>
      </c>
    </row>
    <row r="76" spans="1:7" ht="16.5">
      <c r="A76" s="49">
        <v>57</v>
      </c>
      <c r="B76" s="50">
        <f t="shared" si="1"/>
        <v>92933.661781730421</v>
      </c>
      <c r="C76" s="47">
        <f>IF(A76="","",IF(MOD(A76-1,12)=0,C75*(1+Perfil!$C$7),C75))</f>
        <v>1464.1000000000001</v>
      </c>
      <c r="D76" s="47">
        <f t="shared" si="2"/>
        <v>94397.761781730427</v>
      </c>
      <c r="E76" s="48">
        <f t="shared" si="0"/>
        <v>8.4256721399064809E-3</v>
      </c>
      <c r="F76" s="47">
        <f t="shared" si="3"/>
        <v>795.36459151385486</v>
      </c>
      <c r="G76" s="47">
        <f t="shared" si="4"/>
        <v>95193.126373244275</v>
      </c>
    </row>
    <row r="77" spans="1:7" ht="16.5">
      <c r="A77" s="49">
        <v>58</v>
      </c>
      <c r="B77" s="50">
        <f t="shared" si="1"/>
        <v>95193.126373244275</v>
      </c>
      <c r="C77" s="47">
        <f>IF(A77="","",IF(MOD(A77-1,12)=0,C76*(1+Perfil!$C$7),C76))</f>
        <v>1464.1000000000001</v>
      </c>
      <c r="D77" s="47">
        <f t="shared" si="2"/>
        <v>96657.226373244281</v>
      </c>
      <c r="E77" s="48">
        <f t="shared" si="0"/>
        <v>8.4256721399064809E-3</v>
      </c>
      <c r="F77" s="47">
        <f t="shared" si="3"/>
        <v>814.40209937367831</v>
      </c>
      <c r="G77" s="47">
        <f t="shared" si="4"/>
        <v>97471.628472617958</v>
      </c>
    </row>
    <row r="78" spans="1:7" ht="16.5">
      <c r="A78" s="49">
        <v>59</v>
      </c>
      <c r="B78" s="50">
        <f t="shared" si="1"/>
        <v>97471.628472617958</v>
      </c>
      <c r="C78" s="47">
        <f>IF(A78="","",IF(MOD(A78-1,12)=0,C77*(1+Perfil!$C$7),C77))</f>
        <v>1464.1000000000001</v>
      </c>
      <c r="D78" s="47">
        <f t="shared" si="2"/>
        <v>98935.728472617964</v>
      </c>
      <c r="E78" s="48">
        <f t="shared" si="0"/>
        <v>8.4256721399064809E-3</v>
      </c>
      <c r="F78" s="47">
        <f t="shared" si="3"/>
        <v>833.60001103308957</v>
      </c>
      <c r="G78" s="47">
        <f t="shared" si="4"/>
        <v>99769.328483651057</v>
      </c>
    </row>
    <row r="79" spans="1:7" ht="16.5">
      <c r="A79" s="49">
        <v>60</v>
      </c>
      <c r="B79" s="50">
        <f t="shared" si="1"/>
        <v>99769.328483651057</v>
      </c>
      <c r="C79" s="47">
        <f>IF(A79="","",IF(MOD(A79-1,12)=0,C78*(1+Perfil!$C$7),C78))</f>
        <v>1464.1000000000001</v>
      </c>
      <c r="D79" s="47">
        <f t="shared" si="2"/>
        <v>101233.42848365106</v>
      </c>
      <c r="E79" s="48">
        <f t="shared" si="0"/>
        <v>8.4256721399064809E-3</v>
      </c>
      <c r="F79" s="47">
        <f t="shared" si="3"/>
        <v>852.95967800191397</v>
      </c>
      <c r="G79" s="47">
        <f t="shared" si="4"/>
        <v>102086.38816165298</v>
      </c>
    </row>
    <row r="80" spans="1:7" ht="16.5">
      <c r="A80" s="49"/>
      <c r="B80" s="50" t="str">
        <f t="shared" si="1"/>
        <v/>
      </c>
      <c r="C80" s="47" t="str">
        <f>IF(A80="","",IF(MOD(A80-1,12)=0,C79*(1+Perfil!$C$7),C79))</f>
        <v/>
      </c>
      <c r="D80" s="47" t="str">
        <f t="shared" si="2"/>
        <v/>
      </c>
      <c r="E80" s="48" t="str">
        <f t="shared" si="0"/>
        <v/>
      </c>
      <c r="F80" s="47" t="str">
        <f t="shared" si="3"/>
        <v/>
      </c>
      <c r="G80" s="47" t="str">
        <f t="shared" si="4"/>
        <v/>
      </c>
    </row>
    <row r="81" spans="1:7" ht="16.5">
      <c r="A81" s="49"/>
      <c r="B81" s="50" t="str">
        <f t="shared" si="1"/>
        <v/>
      </c>
      <c r="C81" s="47" t="str">
        <f>IF(A81="","",IF(MOD(A81-1,12)=0,C80*(1+Perfil!$C$7),C80))</f>
        <v/>
      </c>
      <c r="D81" s="47" t="str">
        <f t="shared" si="2"/>
        <v/>
      </c>
      <c r="E81" s="48" t="str">
        <f t="shared" si="0"/>
        <v/>
      </c>
      <c r="F81" s="47" t="str">
        <f t="shared" si="3"/>
        <v/>
      </c>
      <c r="G81" s="47" t="str">
        <f t="shared" si="4"/>
        <v/>
      </c>
    </row>
    <row r="82" spans="1:7" ht="16.5">
      <c r="A82" s="49"/>
      <c r="B82" s="50" t="str">
        <f t="shared" si="1"/>
        <v/>
      </c>
      <c r="C82" s="47" t="str">
        <f>IF(A82="","",IF(MOD(A82-1,12)=0,C81*(1+Perfil!$C$7),C81))</f>
        <v/>
      </c>
      <c r="D82" s="47" t="str">
        <f t="shared" si="2"/>
        <v/>
      </c>
      <c r="E82" s="48" t="str">
        <f t="shared" si="0"/>
        <v/>
      </c>
      <c r="F82" s="47" t="str">
        <f t="shared" si="3"/>
        <v/>
      </c>
      <c r="G82" s="47" t="str">
        <f t="shared" si="4"/>
        <v/>
      </c>
    </row>
    <row r="83" spans="1:7" ht="16.5">
      <c r="A83" s="49"/>
      <c r="B83" s="50" t="str">
        <f t="shared" si="1"/>
        <v/>
      </c>
      <c r="C83" s="47" t="str">
        <f>IF(A83="","",IF(MOD(A83-1,12)=0,C82*(1+Perfil!$C$7),C82))</f>
        <v/>
      </c>
      <c r="D83" s="47" t="str">
        <f t="shared" si="2"/>
        <v/>
      </c>
      <c r="E83" s="48" t="str">
        <f t="shared" si="0"/>
        <v/>
      </c>
      <c r="F83" s="47" t="str">
        <f t="shared" si="3"/>
        <v/>
      </c>
      <c r="G83" s="47" t="str">
        <f t="shared" si="4"/>
        <v/>
      </c>
    </row>
    <row r="84" spans="1:7" ht="16.5">
      <c r="A84" s="49"/>
      <c r="B84" s="50" t="str">
        <f t="shared" si="1"/>
        <v/>
      </c>
      <c r="C84" s="47" t="str">
        <f>IF(A84="","",IF(MOD(A84-1,12)=0,C83*(1+Perfil!$C$7),C83))</f>
        <v/>
      </c>
      <c r="D84" s="47" t="str">
        <f t="shared" si="2"/>
        <v/>
      </c>
      <c r="E84" s="48" t="str">
        <f t="shared" si="0"/>
        <v/>
      </c>
      <c r="F84" s="47" t="str">
        <f t="shared" si="3"/>
        <v/>
      </c>
      <c r="G84" s="47" t="str">
        <f t="shared" si="4"/>
        <v/>
      </c>
    </row>
    <row r="85" spans="1:7" ht="16.5">
      <c r="A85" s="49"/>
      <c r="B85" s="50" t="str">
        <f t="shared" si="1"/>
        <v/>
      </c>
      <c r="C85" s="47" t="str">
        <f>IF(A85="","",IF(MOD(A85-1,12)=0,C84*(1+Perfil!$C$7),C84))</f>
        <v/>
      </c>
      <c r="D85" s="47" t="str">
        <f t="shared" si="2"/>
        <v/>
      </c>
      <c r="E85" s="48" t="str">
        <f t="shared" ref="E85:E148" si="5">IF(A85="","",$C$10)</f>
        <v/>
      </c>
      <c r="F85" s="47" t="str">
        <f t="shared" si="3"/>
        <v/>
      </c>
      <c r="G85" s="47" t="str">
        <f t="shared" si="4"/>
        <v/>
      </c>
    </row>
    <row r="86" spans="1:7" ht="16.5">
      <c r="A86" s="49"/>
      <c r="B86" s="50" t="str">
        <f t="shared" ref="B86:B149" si="6">IF(A86="","",G85)</f>
        <v/>
      </c>
      <c r="C86" s="47" t="str">
        <f>IF(A86="","",IF(MOD(A86-1,12)=0,C85*(1+Perfil!$C$7),C85))</f>
        <v/>
      </c>
      <c r="D86" s="47" t="str">
        <f t="shared" ref="D86:D149" si="7">IF(A86="","",B86+C86)</f>
        <v/>
      </c>
      <c r="E86" s="48" t="str">
        <f t="shared" si="5"/>
        <v/>
      </c>
      <c r="F86" s="47" t="str">
        <f t="shared" ref="F86:F149" si="8">IF(A86="","",D86*E86)</f>
        <v/>
      </c>
      <c r="G86" s="47" t="str">
        <f t="shared" ref="G86:G149" si="9">IF(A86="","",D86+F86)</f>
        <v/>
      </c>
    </row>
    <row r="87" spans="1:7" ht="16.5">
      <c r="A87" s="49"/>
      <c r="B87" s="50" t="str">
        <f t="shared" si="6"/>
        <v/>
      </c>
      <c r="C87" s="47" t="str">
        <f>IF(A87="","",IF(MOD(A87-1,12)=0,C86*(1+Perfil!$C$7),C86))</f>
        <v/>
      </c>
      <c r="D87" s="47" t="str">
        <f t="shared" si="7"/>
        <v/>
      </c>
      <c r="E87" s="48" t="str">
        <f t="shared" si="5"/>
        <v/>
      </c>
      <c r="F87" s="47" t="str">
        <f t="shared" si="8"/>
        <v/>
      </c>
      <c r="G87" s="47" t="str">
        <f t="shared" si="9"/>
        <v/>
      </c>
    </row>
    <row r="88" spans="1:7" ht="16.5">
      <c r="A88" s="49"/>
      <c r="B88" s="50" t="str">
        <f t="shared" si="6"/>
        <v/>
      </c>
      <c r="C88" s="47" t="str">
        <f>IF(A88="","",IF(MOD(A88-1,12)=0,C87*(1+Perfil!$C$7),C87))</f>
        <v/>
      </c>
      <c r="D88" s="47" t="str">
        <f t="shared" si="7"/>
        <v/>
      </c>
      <c r="E88" s="48" t="str">
        <f t="shared" si="5"/>
        <v/>
      </c>
      <c r="F88" s="47" t="str">
        <f t="shared" si="8"/>
        <v/>
      </c>
      <c r="G88" s="47" t="str">
        <f t="shared" si="9"/>
        <v/>
      </c>
    </row>
    <row r="89" spans="1:7" ht="16.5">
      <c r="A89" s="49"/>
      <c r="B89" s="50" t="str">
        <f t="shared" si="6"/>
        <v/>
      </c>
      <c r="C89" s="47" t="str">
        <f>IF(A89="","",IF(MOD(A89-1,12)=0,C88*(1+Perfil!$C$7),C88))</f>
        <v/>
      </c>
      <c r="D89" s="47" t="str">
        <f t="shared" si="7"/>
        <v/>
      </c>
      <c r="E89" s="48" t="str">
        <f t="shared" si="5"/>
        <v/>
      </c>
      <c r="F89" s="47" t="str">
        <f t="shared" si="8"/>
        <v/>
      </c>
      <c r="G89" s="47" t="str">
        <f t="shared" si="9"/>
        <v/>
      </c>
    </row>
    <row r="90" spans="1:7" ht="16.5">
      <c r="A90" s="49"/>
      <c r="B90" s="50" t="str">
        <f t="shared" si="6"/>
        <v/>
      </c>
      <c r="C90" s="47" t="str">
        <f>IF(A90="","",IF(MOD(A90-1,12)=0,C89*(1+Perfil!$C$7),C89))</f>
        <v/>
      </c>
      <c r="D90" s="47" t="str">
        <f t="shared" si="7"/>
        <v/>
      </c>
      <c r="E90" s="48" t="str">
        <f t="shared" si="5"/>
        <v/>
      </c>
      <c r="F90" s="47" t="str">
        <f t="shared" si="8"/>
        <v/>
      </c>
      <c r="G90" s="47" t="str">
        <f t="shared" si="9"/>
        <v/>
      </c>
    </row>
    <row r="91" spans="1:7" ht="16.5">
      <c r="A91" s="49"/>
      <c r="B91" s="50" t="str">
        <f t="shared" si="6"/>
        <v/>
      </c>
      <c r="C91" s="47" t="str">
        <f>IF(A91="","",IF(MOD(A91-1,12)=0,C90*(1+Perfil!$C$7),C90))</f>
        <v/>
      </c>
      <c r="D91" s="47" t="str">
        <f t="shared" si="7"/>
        <v/>
      </c>
      <c r="E91" s="48" t="str">
        <f t="shared" si="5"/>
        <v/>
      </c>
      <c r="F91" s="47" t="str">
        <f t="shared" si="8"/>
        <v/>
      </c>
      <c r="G91" s="47" t="str">
        <f t="shared" si="9"/>
        <v/>
      </c>
    </row>
    <row r="92" spans="1:7" ht="16.5">
      <c r="A92" s="49"/>
      <c r="B92" s="50" t="str">
        <f t="shared" si="6"/>
        <v/>
      </c>
      <c r="C92" s="47" t="str">
        <f>IF(A92="","",IF(MOD(A92-1,12)=0,C91*(1+Perfil!$C$7),C91))</f>
        <v/>
      </c>
      <c r="D92" s="47" t="str">
        <f t="shared" si="7"/>
        <v/>
      </c>
      <c r="E92" s="48" t="str">
        <f t="shared" si="5"/>
        <v/>
      </c>
      <c r="F92" s="47" t="str">
        <f t="shared" si="8"/>
        <v/>
      </c>
      <c r="G92" s="47" t="str">
        <f t="shared" si="9"/>
        <v/>
      </c>
    </row>
    <row r="93" spans="1:7" ht="16.5">
      <c r="A93" s="49"/>
      <c r="B93" s="50" t="str">
        <f t="shared" si="6"/>
        <v/>
      </c>
      <c r="C93" s="47" t="str">
        <f>IF(A93="","",IF(MOD(A93-1,12)=0,C92*(1+Perfil!$C$7),C92))</f>
        <v/>
      </c>
      <c r="D93" s="47" t="str">
        <f t="shared" si="7"/>
        <v/>
      </c>
      <c r="E93" s="48" t="str">
        <f t="shared" si="5"/>
        <v/>
      </c>
      <c r="F93" s="47" t="str">
        <f t="shared" si="8"/>
        <v/>
      </c>
      <c r="G93" s="47" t="str">
        <f t="shared" si="9"/>
        <v/>
      </c>
    </row>
    <row r="94" spans="1:7" ht="16.5">
      <c r="A94" s="49"/>
      <c r="B94" s="50" t="str">
        <f t="shared" si="6"/>
        <v/>
      </c>
      <c r="C94" s="47" t="str">
        <f>IF(A94="","",IF(MOD(A94-1,12)=0,C93*(1+Perfil!$C$7),C93))</f>
        <v/>
      </c>
      <c r="D94" s="47" t="str">
        <f t="shared" si="7"/>
        <v/>
      </c>
      <c r="E94" s="48" t="str">
        <f t="shared" si="5"/>
        <v/>
      </c>
      <c r="F94" s="47" t="str">
        <f t="shared" si="8"/>
        <v/>
      </c>
      <c r="G94" s="47" t="str">
        <f t="shared" si="9"/>
        <v/>
      </c>
    </row>
    <row r="95" spans="1:7" ht="16.5">
      <c r="A95" s="49"/>
      <c r="B95" s="50" t="str">
        <f t="shared" si="6"/>
        <v/>
      </c>
      <c r="C95" s="47" t="str">
        <f>IF(A95="","",IF(MOD(A95-1,12)=0,C94*(1+Perfil!$C$7),C94))</f>
        <v/>
      </c>
      <c r="D95" s="47" t="str">
        <f t="shared" si="7"/>
        <v/>
      </c>
      <c r="E95" s="48" t="str">
        <f t="shared" si="5"/>
        <v/>
      </c>
      <c r="F95" s="47" t="str">
        <f t="shared" si="8"/>
        <v/>
      </c>
      <c r="G95" s="47" t="str">
        <f t="shared" si="9"/>
        <v/>
      </c>
    </row>
    <row r="96" spans="1:7" ht="16.5">
      <c r="A96" s="49"/>
      <c r="B96" s="50" t="str">
        <f t="shared" si="6"/>
        <v/>
      </c>
      <c r="C96" s="47" t="str">
        <f>IF(A96="","",IF(MOD(A96-1,12)=0,C95*(1+Perfil!$C$7),C95))</f>
        <v/>
      </c>
      <c r="D96" s="47" t="str">
        <f t="shared" si="7"/>
        <v/>
      </c>
      <c r="E96" s="48" t="str">
        <f t="shared" si="5"/>
        <v/>
      </c>
      <c r="F96" s="47" t="str">
        <f t="shared" si="8"/>
        <v/>
      </c>
      <c r="G96" s="47" t="str">
        <f t="shared" si="9"/>
        <v/>
      </c>
    </row>
    <row r="97" spans="1:7" ht="16.5">
      <c r="A97" s="49"/>
      <c r="B97" s="50" t="str">
        <f t="shared" si="6"/>
        <v/>
      </c>
      <c r="C97" s="47" t="str">
        <f>IF(A97="","",IF(MOD(A97-1,12)=0,C96*(1+Perfil!$C$7),C96))</f>
        <v/>
      </c>
      <c r="D97" s="47" t="str">
        <f t="shared" si="7"/>
        <v/>
      </c>
      <c r="E97" s="48" t="str">
        <f t="shared" si="5"/>
        <v/>
      </c>
      <c r="F97" s="47" t="str">
        <f t="shared" si="8"/>
        <v/>
      </c>
      <c r="G97" s="47" t="str">
        <f t="shared" si="9"/>
        <v/>
      </c>
    </row>
    <row r="98" spans="1:7" ht="16.5">
      <c r="A98" s="49"/>
      <c r="B98" s="50" t="str">
        <f t="shared" si="6"/>
        <v/>
      </c>
      <c r="C98" s="47" t="str">
        <f>IF(A98="","",IF(MOD(A98-1,12)=0,C97*(1+Perfil!$C$7),C97))</f>
        <v/>
      </c>
      <c r="D98" s="47" t="str">
        <f t="shared" si="7"/>
        <v/>
      </c>
      <c r="E98" s="48" t="str">
        <f t="shared" si="5"/>
        <v/>
      </c>
      <c r="F98" s="47" t="str">
        <f t="shared" si="8"/>
        <v/>
      </c>
      <c r="G98" s="47" t="str">
        <f t="shared" si="9"/>
        <v/>
      </c>
    </row>
    <row r="99" spans="1:7" ht="16.5">
      <c r="A99" s="49"/>
      <c r="B99" s="50" t="str">
        <f t="shared" si="6"/>
        <v/>
      </c>
      <c r="C99" s="47" t="str">
        <f>IF(A99="","",IF(MOD(A99-1,12)=0,C98*(1+Perfil!$C$7),C98))</f>
        <v/>
      </c>
      <c r="D99" s="47" t="str">
        <f t="shared" si="7"/>
        <v/>
      </c>
      <c r="E99" s="48" t="str">
        <f t="shared" si="5"/>
        <v/>
      </c>
      <c r="F99" s="47" t="str">
        <f t="shared" si="8"/>
        <v/>
      </c>
      <c r="G99" s="47" t="str">
        <f t="shared" si="9"/>
        <v/>
      </c>
    </row>
    <row r="100" spans="1:7" ht="16.5">
      <c r="A100" s="49"/>
      <c r="B100" s="50" t="str">
        <f t="shared" si="6"/>
        <v/>
      </c>
      <c r="C100" s="47" t="str">
        <f>IF(A100="","",IF(MOD(A100-1,12)=0,C99*(1+Perfil!$C$7),C99))</f>
        <v/>
      </c>
      <c r="D100" s="47" t="str">
        <f t="shared" si="7"/>
        <v/>
      </c>
      <c r="E100" s="48" t="str">
        <f t="shared" si="5"/>
        <v/>
      </c>
      <c r="F100" s="47" t="str">
        <f t="shared" si="8"/>
        <v/>
      </c>
      <c r="G100" s="47" t="str">
        <f t="shared" si="9"/>
        <v/>
      </c>
    </row>
    <row r="101" spans="1:7" ht="16.5">
      <c r="A101" s="49"/>
      <c r="B101" s="50" t="str">
        <f t="shared" si="6"/>
        <v/>
      </c>
      <c r="C101" s="47" t="str">
        <f>IF(A101="","",IF(MOD(A101-1,12)=0,C100*(1+Perfil!$C$7),C100))</f>
        <v/>
      </c>
      <c r="D101" s="47" t="str">
        <f t="shared" si="7"/>
        <v/>
      </c>
      <c r="E101" s="48" t="str">
        <f t="shared" si="5"/>
        <v/>
      </c>
      <c r="F101" s="47" t="str">
        <f t="shared" si="8"/>
        <v/>
      </c>
      <c r="G101" s="47" t="str">
        <f t="shared" si="9"/>
        <v/>
      </c>
    </row>
    <row r="102" spans="1:7" ht="16.5">
      <c r="A102" s="49"/>
      <c r="B102" s="50" t="str">
        <f t="shared" si="6"/>
        <v/>
      </c>
      <c r="C102" s="47" t="str">
        <f>IF(A102="","",IF(MOD(A102-1,12)=0,C101*(1+Perfil!$C$7),C101))</f>
        <v/>
      </c>
      <c r="D102" s="47" t="str">
        <f t="shared" si="7"/>
        <v/>
      </c>
      <c r="E102" s="48" t="str">
        <f t="shared" si="5"/>
        <v/>
      </c>
      <c r="F102" s="47" t="str">
        <f t="shared" si="8"/>
        <v/>
      </c>
      <c r="G102" s="47" t="str">
        <f t="shared" si="9"/>
        <v/>
      </c>
    </row>
    <row r="103" spans="1:7" ht="16.5">
      <c r="A103" s="49"/>
      <c r="B103" s="50" t="str">
        <f t="shared" si="6"/>
        <v/>
      </c>
      <c r="C103" s="47" t="str">
        <f>IF(A103="","",IF(MOD(A103-1,12)=0,C102*(1+Perfil!$C$7),C102))</f>
        <v/>
      </c>
      <c r="D103" s="47" t="str">
        <f t="shared" si="7"/>
        <v/>
      </c>
      <c r="E103" s="48" t="str">
        <f t="shared" si="5"/>
        <v/>
      </c>
      <c r="F103" s="47" t="str">
        <f t="shared" si="8"/>
        <v/>
      </c>
      <c r="G103" s="47" t="str">
        <f t="shared" si="9"/>
        <v/>
      </c>
    </row>
    <row r="104" spans="1:7" ht="16.5">
      <c r="A104" s="49"/>
      <c r="B104" s="50" t="str">
        <f t="shared" si="6"/>
        <v/>
      </c>
      <c r="C104" s="47" t="str">
        <f>IF(A104="","",IF(MOD(A104-1,12)=0,C103*(1+Perfil!$C$7),C103))</f>
        <v/>
      </c>
      <c r="D104" s="47" t="str">
        <f t="shared" si="7"/>
        <v/>
      </c>
      <c r="E104" s="48" t="str">
        <f t="shared" si="5"/>
        <v/>
      </c>
      <c r="F104" s="47" t="str">
        <f t="shared" si="8"/>
        <v/>
      </c>
      <c r="G104" s="47" t="str">
        <f t="shared" si="9"/>
        <v/>
      </c>
    </row>
    <row r="105" spans="1:7" ht="16.5">
      <c r="A105" s="49"/>
      <c r="B105" s="50" t="str">
        <f t="shared" si="6"/>
        <v/>
      </c>
      <c r="C105" s="47" t="str">
        <f>IF(A105="","",IF(MOD(A105-1,12)=0,C104*(1+Perfil!$C$7),C104))</f>
        <v/>
      </c>
      <c r="D105" s="47" t="str">
        <f t="shared" si="7"/>
        <v/>
      </c>
      <c r="E105" s="48" t="str">
        <f t="shared" si="5"/>
        <v/>
      </c>
      <c r="F105" s="47" t="str">
        <f t="shared" si="8"/>
        <v/>
      </c>
      <c r="G105" s="47" t="str">
        <f t="shared" si="9"/>
        <v/>
      </c>
    </row>
    <row r="106" spans="1:7" ht="16.5">
      <c r="A106" s="49"/>
      <c r="B106" s="50" t="str">
        <f t="shared" si="6"/>
        <v/>
      </c>
      <c r="C106" s="47" t="str">
        <f>IF(A106="","",IF(MOD(A106-1,12)=0,C105*(1+Perfil!$C$7),C105))</f>
        <v/>
      </c>
      <c r="D106" s="47" t="str">
        <f t="shared" si="7"/>
        <v/>
      </c>
      <c r="E106" s="48" t="str">
        <f t="shared" si="5"/>
        <v/>
      </c>
      <c r="F106" s="47" t="str">
        <f t="shared" si="8"/>
        <v/>
      </c>
      <c r="G106" s="47" t="str">
        <f t="shared" si="9"/>
        <v/>
      </c>
    </row>
    <row r="107" spans="1:7" ht="16.5">
      <c r="A107" s="49"/>
      <c r="B107" s="50" t="str">
        <f t="shared" si="6"/>
        <v/>
      </c>
      <c r="C107" s="47" t="str">
        <f>IF(A107="","",IF(MOD(A107-1,12)=0,C106*(1+Perfil!$C$7),C106))</f>
        <v/>
      </c>
      <c r="D107" s="47" t="str">
        <f t="shared" si="7"/>
        <v/>
      </c>
      <c r="E107" s="48" t="str">
        <f t="shared" si="5"/>
        <v/>
      </c>
      <c r="F107" s="47" t="str">
        <f t="shared" si="8"/>
        <v/>
      </c>
      <c r="G107" s="47" t="str">
        <f t="shared" si="9"/>
        <v/>
      </c>
    </row>
    <row r="108" spans="1:7" ht="16.5">
      <c r="A108" s="49"/>
      <c r="B108" s="50" t="str">
        <f t="shared" si="6"/>
        <v/>
      </c>
      <c r="C108" s="47" t="str">
        <f>IF(A108="","",IF(MOD(A108-1,12)=0,C107*(1+Perfil!$C$7),C107))</f>
        <v/>
      </c>
      <c r="D108" s="47" t="str">
        <f t="shared" si="7"/>
        <v/>
      </c>
      <c r="E108" s="48" t="str">
        <f t="shared" si="5"/>
        <v/>
      </c>
      <c r="F108" s="47" t="str">
        <f t="shared" si="8"/>
        <v/>
      </c>
      <c r="G108" s="47" t="str">
        <f t="shared" si="9"/>
        <v/>
      </c>
    </row>
    <row r="109" spans="1:7" ht="16.5">
      <c r="A109" s="49"/>
      <c r="B109" s="50" t="str">
        <f t="shared" si="6"/>
        <v/>
      </c>
      <c r="C109" s="47" t="str">
        <f>IF(A109="","",IF(MOD(A109-1,12)=0,C108*(1+Perfil!$C$7),C108))</f>
        <v/>
      </c>
      <c r="D109" s="47" t="str">
        <f t="shared" si="7"/>
        <v/>
      </c>
      <c r="E109" s="48" t="str">
        <f t="shared" si="5"/>
        <v/>
      </c>
      <c r="F109" s="47" t="str">
        <f t="shared" si="8"/>
        <v/>
      </c>
      <c r="G109" s="47" t="str">
        <f t="shared" si="9"/>
        <v/>
      </c>
    </row>
    <row r="110" spans="1:7" ht="16.5">
      <c r="A110" s="49"/>
      <c r="B110" s="50" t="str">
        <f t="shared" si="6"/>
        <v/>
      </c>
      <c r="C110" s="47" t="str">
        <f>IF(A110="","",IF(MOD(A110-1,12)=0,C109*(1+Perfil!$C$7),C109))</f>
        <v/>
      </c>
      <c r="D110" s="47" t="str">
        <f t="shared" si="7"/>
        <v/>
      </c>
      <c r="E110" s="48" t="str">
        <f t="shared" si="5"/>
        <v/>
      </c>
      <c r="F110" s="47" t="str">
        <f t="shared" si="8"/>
        <v/>
      </c>
      <c r="G110" s="47" t="str">
        <f t="shared" si="9"/>
        <v/>
      </c>
    </row>
    <row r="111" spans="1:7" ht="16.5">
      <c r="A111" s="49"/>
      <c r="B111" s="50" t="str">
        <f t="shared" si="6"/>
        <v/>
      </c>
      <c r="C111" s="47" t="str">
        <f>IF(A111="","",IF(MOD(A111-1,12)=0,C110*(1+Perfil!$C$7),C110))</f>
        <v/>
      </c>
      <c r="D111" s="47" t="str">
        <f t="shared" si="7"/>
        <v/>
      </c>
      <c r="E111" s="48" t="str">
        <f t="shared" si="5"/>
        <v/>
      </c>
      <c r="F111" s="47" t="str">
        <f t="shared" si="8"/>
        <v/>
      </c>
      <c r="G111" s="47" t="str">
        <f t="shared" si="9"/>
        <v/>
      </c>
    </row>
    <row r="112" spans="1:7" ht="16.5">
      <c r="A112" s="49"/>
      <c r="B112" s="50" t="str">
        <f t="shared" si="6"/>
        <v/>
      </c>
      <c r="C112" s="47" t="str">
        <f>IF(A112="","",IF(MOD(A112-1,12)=0,C111*(1+Perfil!$C$7),C111))</f>
        <v/>
      </c>
      <c r="D112" s="47" t="str">
        <f t="shared" si="7"/>
        <v/>
      </c>
      <c r="E112" s="48" t="str">
        <f t="shared" si="5"/>
        <v/>
      </c>
      <c r="F112" s="47" t="str">
        <f t="shared" si="8"/>
        <v/>
      </c>
      <c r="G112" s="47" t="str">
        <f t="shared" si="9"/>
        <v/>
      </c>
    </row>
    <row r="113" spans="1:7" ht="16.5">
      <c r="A113" s="49"/>
      <c r="B113" s="50" t="str">
        <f t="shared" si="6"/>
        <v/>
      </c>
      <c r="C113" s="47" t="str">
        <f>IF(A113="","",IF(MOD(A113-1,12)=0,C112*(1+Perfil!$C$7),C112))</f>
        <v/>
      </c>
      <c r="D113" s="47" t="str">
        <f t="shared" si="7"/>
        <v/>
      </c>
      <c r="E113" s="48" t="str">
        <f t="shared" si="5"/>
        <v/>
      </c>
      <c r="F113" s="47" t="str">
        <f t="shared" si="8"/>
        <v/>
      </c>
      <c r="G113" s="47" t="str">
        <f t="shared" si="9"/>
        <v/>
      </c>
    </row>
    <row r="114" spans="1:7" ht="16.5">
      <c r="A114" s="49"/>
      <c r="B114" s="50" t="str">
        <f t="shared" si="6"/>
        <v/>
      </c>
      <c r="C114" s="47" t="str">
        <f>IF(A114="","",IF(MOD(A114-1,12)=0,C113*(1+Perfil!$C$7),C113))</f>
        <v/>
      </c>
      <c r="D114" s="47" t="str">
        <f t="shared" si="7"/>
        <v/>
      </c>
      <c r="E114" s="48" t="str">
        <f t="shared" si="5"/>
        <v/>
      </c>
      <c r="F114" s="47" t="str">
        <f t="shared" si="8"/>
        <v/>
      </c>
      <c r="G114" s="47" t="str">
        <f t="shared" si="9"/>
        <v/>
      </c>
    </row>
    <row r="115" spans="1:7" ht="16.5">
      <c r="A115" s="49"/>
      <c r="B115" s="50" t="str">
        <f t="shared" si="6"/>
        <v/>
      </c>
      <c r="C115" s="47" t="str">
        <f>IF(A115="","",IF(MOD(A115-1,12)=0,C114*(1+Perfil!$C$7),C114))</f>
        <v/>
      </c>
      <c r="D115" s="47" t="str">
        <f t="shared" si="7"/>
        <v/>
      </c>
      <c r="E115" s="48" t="str">
        <f t="shared" si="5"/>
        <v/>
      </c>
      <c r="F115" s="47" t="str">
        <f t="shared" si="8"/>
        <v/>
      </c>
      <c r="G115" s="47" t="str">
        <f t="shared" si="9"/>
        <v/>
      </c>
    </row>
    <row r="116" spans="1:7" ht="16.5">
      <c r="A116" s="49"/>
      <c r="B116" s="50" t="str">
        <f t="shared" si="6"/>
        <v/>
      </c>
      <c r="C116" s="47" t="str">
        <f>IF(A116="","",IF(MOD(A116-1,12)=0,C115*(1+Perfil!$C$7),C115))</f>
        <v/>
      </c>
      <c r="D116" s="47" t="str">
        <f t="shared" si="7"/>
        <v/>
      </c>
      <c r="E116" s="48" t="str">
        <f t="shared" si="5"/>
        <v/>
      </c>
      <c r="F116" s="47" t="str">
        <f t="shared" si="8"/>
        <v/>
      </c>
      <c r="G116" s="47" t="str">
        <f t="shared" si="9"/>
        <v/>
      </c>
    </row>
    <row r="117" spans="1:7" ht="16.5">
      <c r="A117" s="49"/>
      <c r="B117" s="50" t="str">
        <f t="shared" si="6"/>
        <v/>
      </c>
      <c r="C117" s="47" t="str">
        <f>IF(A117="","",IF(MOD(A117-1,12)=0,C116*(1+Perfil!$C$7),C116))</f>
        <v/>
      </c>
      <c r="D117" s="47" t="str">
        <f t="shared" si="7"/>
        <v/>
      </c>
      <c r="E117" s="48" t="str">
        <f t="shared" si="5"/>
        <v/>
      </c>
      <c r="F117" s="47" t="str">
        <f t="shared" si="8"/>
        <v/>
      </c>
      <c r="G117" s="47" t="str">
        <f t="shared" si="9"/>
        <v/>
      </c>
    </row>
    <row r="118" spans="1:7" ht="16.5">
      <c r="A118" s="49"/>
      <c r="B118" s="50" t="str">
        <f t="shared" si="6"/>
        <v/>
      </c>
      <c r="C118" s="47" t="str">
        <f>IF(A118="","",IF(MOD(A118-1,12)=0,C117*(1+Perfil!$C$7),C117))</f>
        <v/>
      </c>
      <c r="D118" s="47" t="str">
        <f t="shared" si="7"/>
        <v/>
      </c>
      <c r="E118" s="48" t="str">
        <f t="shared" si="5"/>
        <v/>
      </c>
      <c r="F118" s="47" t="str">
        <f t="shared" si="8"/>
        <v/>
      </c>
      <c r="G118" s="47" t="str">
        <f t="shared" si="9"/>
        <v/>
      </c>
    </row>
    <row r="119" spans="1:7" ht="16.5">
      <c r="A119" s="49"/>
      <c r="B119" s="50" t="str">
        <f t="shared" si="6"/>
        <v/>
      </c>
      <c r="C119" s="47" t="str">
        <f>IF(A119="","",IF(MOD(A119-1,12)=0,C118*(1+Perfil!$C$7),C118))</f>
        <v/>
      </c>
      <c r="D119" s="47" t="str">
        <f t="shared" si="7"/>
        <v/>
      </c>
      <c r="E119" s="48" t="str">
        <f t="shared" si="5"/>
        <v/>
      </c>
      <c r="F119" s="47" t="str">
        <f t="shared" si="8"/>
        <v/>
      </c>
      <c r="G119" s="47" t="str">
        <f t="shared" si="9"/>
        <v/>
      </c>
    </row>
    <row r="120" spans="1:7" ht="16.5">
      <c r="A120" s="49"/>
      <c r="B120" s="50" t="str">
        <f t="shared" si="6"/>
        <v/>
      </c>
      <c r="C120" s="47" t="str">
        <f>IF(A120="","",IF(MOD(A120-1,12)=0,C119*(1+Perfil!$C$7),C119))</f>
        <v/>
      </c>
      <c r="D120" s="47" t="str">
        <f t="shared" si="7"/>
        <v/>
      </c>
      <c r="E120" s="48" t="str">
        <f t="shared" si="5"/>
        <v/>
      </c>
      <c r="F120" s="47" t="str">
        <f t="shared" si="8"/>
        <v/>
      </c>
      <c r="G120" s="47" t="str">
        <f t="shared" si="9"/>
        <v/>
      </c>
    </row>
    <row r="121" spans="1:7" ht="16.5">
      <c r="A121" s="49"/>
      <c r="B121" s="50" t="str">
        <f t="shared" si="6"/>
        <v/>
      </c>
      <c r="C121" s="47" t="str">
        <f>IF(A121="","",IF(MOD(A121-1,12)=0,C120*(1+Perfil!$C$7),C120))</f>
        <v/>
      </c>
      <c r="D121" s="47" t="str">
        <f t="shared" si="7"/>
        <v/>
      </c>
      <c r="E121" s="48" t="str">
        <f t="shared" si="5"/>
        <v/>
      </c>
      <c r="F121" s="47" t="str">
        <f t="shared" si="8"/>
        <v/>
      </c>
      <c r="G121" s="47" t="str">
        <f t="shared" si="9"/>
        <v/>
      </c>
    </row>
    <row r="122" spans="1:7" ht="16.5">
      <c r="A122" s="49"/>
      <c r="B122" s="50" t="str">
        <f t="shared" si="6"/>
        <v/>
      </c>
      <c r="C122" s="47" t="str">
        <f>IF(A122="","",IF(MOD(A122-1,12)=0,C121*(1+Perfil!$C$7),C121))</f>
        <v/>
      </c>
      <c r="D122" s="47" t="str">
        <f t="shared" si="7"/>
        <v/>
      </c>
      <c r="E122" s="48" t="str">
        <f t="shared" si="5"/>
        <v/>
      </c>
      <c r="F122" s="47" t="str">
        <f t="shared" si="8"/>
        <v/>
      </c>
      <c r="G122" s="47" t="str">
        <f t="shared" si="9"/>
        <v/>
      </c>
    </row>
    <row r="123" spans="1:7" ht="16.5">
      <c r="A123" s="49"/>
      <c r="B123" s="50" t="str">
        <f t="shared" si="6"/>
        <v/>
      </c>
      <c r="C123" s="47" t="str">
        <f>IF(A123="","",IF(MOD(A123-1,12)=0,C122*(1+Perfil!$C$7),C122))</f>
        <v/>
      </c>
      <c r="D123" s="47" t="str">
        <f t="shared" si="7"/>
        <v/>
      </c>
      <c r="E123" s="48" t="str">
        <f t="shared" si="5"/>
        <v/>
      </c>
      <c r="F123" s="47" t="str">
        <f t="shared" si="8"/>
        <v/>
      </c>
      <c r="G123" s="47" t="str">
        <f t="shared" si="9"/>
        <v/>
      </c>
    </row>
    <row r="124" spans="1:7" ht="16.5">
      <c r="A124" s="49"/>
      <c r="B124" s="50" t="str">
        <f t="shared" si="6"/>
        <v/>
      </c>
      <c r="C124" s="47" t="str">
        <f>IF(A124="","",IF(MOD(A124-1,12)=0,C123*(1+Perfil!$C$7),C123))</f>
        <v/>
      </c>
      <c r="D124" s="47" t="str">
        <f t="shared" si="7"/>
        <v/>
      </c>
      <c r="E124" s="48" t="str">
        <f t="shared" si="5"/>
        <v/>
      </c>
      <c r="F124" s="47" t="str">
        <f t="shared" si="8"/>
        <v/>
      </c>
      <c r="G124" s="47" t="str">
        <f t="shared" si="9"/>
        <v/>
      </c>
    </row>
    <row r="125" spans="1:7" ht="16.5">
      <c r="A125" s="49"/>
      <c r="B125" s="50" t="str">
        <f t="shared" si="6"/>
        <v/>
      </c>
      <c r="C125" s="47" t="str">
        <f>IF(A125="","",IF(MOD(A125-1,12)=0,C124*(1+Perfil!$C$7),C124))</f>
        <v/>
      </c>
      <c r="D125" s="47" t="str">
        <f t="shared" si="7"/>
        <v/>
      </c>
      <c r="E125" s="48" t="str">
        <f t="shared" si="5"/>
        <v/>
      </c>
      <c r="F125" s="47" t="str">
        <f t="shared" si="8"/>
        <v/>
      </c>
      <c r="G125" s="47" t="str">
        <f t="shared" si="9"/>
        <v/>
      </c>
    </row>
    <row r="126" spans="1:7" ht="16.5">
      <c r="A126" s="49"/>
      <c r="B126" s="50" t="str">
        <f t="shared" si="6"/>
        <v/>
      </c>
      <c r="C126" s="47" t="str">
        <f>IF(A126="","",IF(MOD(A126-1,12)=0,C125*(1+Perfil!$C$7),C125))</f>
        <v/>
      </c>
      <c r="D126" s="47" t="str">
        <f t="shared" si="7"/>
        <v/>
      </c>
      <c r="E126" s="48" t="str">
        <f t="shared" si="5"/>
        <v/>
      </c>
      <c r="F126" s="47" t="str">
        <f t="shared" si="8"/>
        <v/>
      </c>
      <c r="G126" s="47" t="str">
        <f t="shared" si="9"/>
        <v/>
      </c>
    </row>
    <row r="127" spans="1:7" ht="16.5">
      <c r="A127" s="49"/>
      <c r="B127" s="50" t="str">
        <f t="shared" si="6"/>
        <v/>
      </c>
      <c r="C127" s="47" t="str">
        <f>IF(A127="","",IF(MOD(A127-1,12)=0,C126*(1+Perfil!$C$7),C126))</f>
        <v/>
      </c>
      <c r="D127" s="47" t="str">
        <f t="shared" si="7"/>
        <v/>
      </c>
      <c r="E127" s="48" t="str">
        <f t="shared" si="5"/>
        <v/>
      </c>
      <c r="F127" s="47" t="str">
        <f t="shared" si="8"/>
        <v/>
      </c>
      <c r="G127" s="47" t="str">
        <f t="shared" si="9"/>
        <v/>
      </c>
    </row>
    <row r="128" spans="1:7" ht="16.5">
      <c r="A128" s="49"/>
      <c r="B128" s="50" t="str">
        <f t="shared" si="6"/>
        <v/>
      </c>
      <c r="C128" s="47" t="str">
        <f>IF(A128="","",IF(MOD(A128-1,12)=0,C127*(1+Perfil!$C$7),C127))</f>
        <v/>
      </c>
      <c r="D128" s="47" t="str">
        <f t="shared" si="7"/>
        <v/>
      </c>
      <c r="E128" s="48" t="str">
        <f t="shared" si="5"/>
        <v/>
      </c>
      <c r="F128" s="47" t="str">
        <f t="shared" si="8"/>
        <v/>
      </c>
      <c r="G128" s="47" t="str">
        <f t="shared" si="9"/>
        <v/>
      </c>
    </row>
    <row r="129" spans="1:7" ht="16.5">
      <c r="A129" s="49"/>
      <c r="B129" s="50" t="str">
        <f t="shared" si="6"/>
        <v/>
      </c>
      <c r="C129" s="47" t="str">
        <f>IF(A129="","",IF(MOD(A129-1,12)=0,C128*(1+Perfil!$C$7),C128))</f>
        <v/>
      </c>
      <c r="D129" s="47" t="str">
        <f t="shared" si="7"/>
        <v/>
      </c>
      <c r="E129" s="48" t="str">
        <f t="shared" si="5"/>
        <v/>
      </c>
      <c r="F129" s="47" t="str">
        <f t="shared" si="8"/>
        <v/>
      </c>
      <c r="G129" s="47" t="str">
        <f t="shared" si="9"/>
        <v/>
      </c>
    </row>
    <row r="130" spans="1:7" ht="16.5">
      <c r="A130" s="49"/>
      <c r="B130" s="50" t="str">
        <f t="shared" si="6"/>
        <v/>
      </c>
      <c r="C130" s="47" t="str">
        <f>IF(A130="","",IF(MOD(A130-1,12)=0,C129*(1+Perfil!$C$7),C129))</f>
        <v/>
      </c>
      <c r="D130" s="47" t="str">
        <f t="shared" si="7"/>
        <v/>
      </c>
      <c r="E130" s="48" t="str">
        <f t="shared" si="5"/>
        <v/>
      </c>
      <c r="F130" s="47" t="str">
        <f t="shared" si="8"/>
        <v/>
      </c>
      <c r="G130" s="47" t="str">
        <f t="shared" si="9"/>
        <v/>
      </c>
    </row>
    <row r="131" spans="1:7" ht="16.5">
      <c r="A131" s="49"/>
      <c r="B131" s="50" t="str">
        <f t="shared" si="6"/>
        <v/>
      </c>
      <c r="C131" s="47" t="str">
        <f>IF(A131="","",IF(MOD(A131-1,12)=0,C130*(1+Perfil!$C$7),C130))</f>
        <v/>
      </c>
      <c r="D131" s="47" t="str">
        <f t="shared" si="7"/>
        <v/>
      </c>
      <c r="E131" s="48" t="str">
        <f t="shared" si="5"/>
        <v/>
      </c>
      <c r="F131" s="47" t="str">
        <f t="shared" si="8"/>
        <v/>
      </c>
      <c r="G131" s="47" t="str">
        <f t="shared" si="9"/>
        <v/>
      </c>
    </row>
    <row r="132" spans="1:7" ht="16.5">
      <c r="A132" s="49"/>
      <c r="B132" s="50" t="str">
        <f t="shared" si="6"/>
        <v/>
      </c>
      <c r="C132" s="47" t="str">
        <f>IF(A132="","",IF(MOD(A132-1,12)=0,C131*(1+Perfil!$C$7),C131))</f>
        <v/>
      </c>
      <c r="D132" s="47" t="str">
        <f t="shared" si="7"/>
        <v/>
      </c>
      <c r="E132" s="48" t="str">
        <f t="shared" si="5"/>
        <v/>
      </c>
      <c r="F132" s="47" t="str">
        <f t="shared" si="8"/>
        <v/>
      </c>
      <c r="G132" s="47" t="str">
        <f t="shared" si="9"/>
        <v/>
      </c>
    </row>
    <row r="133" spans="1:7" ht="16.5">
      <c r="A133" s="49"/>
      <c r="B133" s="50" t="str">
        <f t="shared" si="6"/>
        <v/>
      </c>
      <c r="C133" s="47" t="str">
        <f>IF(A133="","",IF(MOD(A133-1,12)=0,C132*(1+Perfil!$C$7),C132))</f>
        <v/>
      </c>
      <c r="D133" s="47" t="str">
        <f t="shared" si="7"/>
        <v/>
      </c>
      <c r="E133" s="48" t="str">
        <f t="shared" si="5"/>
        <v/>
      </c>
      <c r="F133" s="47" t="str">
        <f t="shared" si="8"/>
        <v/>
      </c>
      <c r="G133" s="47" t="str">
        <f t="shared" si="9"/>
        <v/>
      </c>
    </row>
    <row r="134" spans="1:7" ht="16.5">
      <c r="A134" s="49"/>
      <c r="B134" s="50" t="str">
        <f t="shared" si="6"/>
        <v/>
      </c>
      <c r="C134" s="47" t="str">
        <f>IF(A134="","",IF(MOD(A134-1,12)=0,C133*(1+Perfil!$C$7),C133))</f>
        <v/>
      </c>
      <c r="D134" s="47" t="str">
        <f t="shared" si="7"/>
        <v/>
      </c>
      <c r="E134" s="48" t="str">
        <f t="shared" si="5"/>
        <v/>
      </c>
      <c r="F134" s="47" t="str">
        <f t="shared" si="8"/>
        <v/>
      </c>
      <c r="G134" s="47" t="str">
        <f t="shared" si="9"/>
        <v/>
      </c>
    </row>
    <row r="135" spans="1:7" ht="16.5">
      <c r="A135" s="49"/>
      <c r="B135" s="50" t="str">
        <f t="shared" si="6"/>
        <v/>
      </c>
      <c r="C135" s="47" t="str">
        <f>IF(A135="","",IF(MOD(A135-1,12)=0,C134*(1+Perfil!$C$7),C134))</f>
        <v/>
      </c>
      <c r="D135" s="47" t="str">
        <f t="shared" si="7"/>
        <v/>
      </c>
      <c r="E135" s="48" t="str">
        <f t="shared" si="5"/>
        <v/>
      </c>
      <c r="F135" s="47" t="str">
        <f t="shared" si="8"/>
        <v/>
      </c>
      <c r="G135" s="47" t="str">
        <f t="shared" si="9"/>
        <v/>
      </c>
    </row>
    <row r="136" spans="1:7" ht="16.5">
      <c r="A136" s="49"/>
      <c r="B136" s="50" t="str">
        <f t="shared" si="6"/>
        <v/>
      </c>
      <c r="C136" s="47" t="str">
        <f>IF(A136="","",IF(MOD(A136-1,12)=0,C135*(1+Perfil!$C$7),C135))</f>
        <v/>
      </c>
      <c r="D136" s="47" t="str">
        <f t="shared" si="7"/>
        <v/>
      </c>
      <c r="E136" s="48" t="str">
        <f t="shared" si="5"/>
        <v/>
      </c>
      <c r="F136" s="47" t="str">
        <f t="shared" si="8"/>
        <v/>
      </c>
      <c r="G136" s="47" t="str">
        <f t="shared" si="9"/>
        <v/>
      </c>
    </row>
    <row r="137" spans="1:7" ht="16.5">
      <c r="A137" s="49"/>
      <c r="B137" s="50" t="str">
        <f t="shared" si="6"/>
        <v/>
      </c>
      <c r="C137" s="47" t="str">
        <f>IF(A137="","",IF(MOD(A137-1,12)=0,C136*(1+Perfil!$C$7),C136))</f>
        <v/>
      </c>
      <c r="D137" s="47" t="str">
        <f t="shared" si="7"/>
        <v/>
      </c>
      <c r="E137" s="48" t="str">
        <f t="shared" si="5"/>
        <v/>
      </c>
      <c r="F137" s="47" t="str">
        <f t="shared" si="8"/>
        <v/>
      </c>
      <c r="G137" s="47" t="str">
        <f t="shared" si="9"/>
        <v/>
      </c>
    </row>
    <row r="138" spans="1:7" ht="16.5">
      <c r="A138" s="49"/>
      <c r="B138" s="50" t="str">
        <f t="shared" si="6"/>
        <v/>
      </c>
      <c r="C138" s="47" t="str">
        <f>IF(A138="","",IF(MOD(A138-1,12)=0,C137*(1+Perfil!$C$7),C137))</f>
        <v/>
      </c>
      <c r="D138" s="47" t="str">
        <f t="shared" si="7"/>
        <v/>
      </c>
      <c r="E138" s="48" t="str">
        <f t="shared" si="5"/>
        <v/>
      </c>
      <c r="F138" s="47" t="str">
        <f t="shared" si="8"/>
        <v/>
      </c>
      <c r="G138" s="47" t="str">
        <f t="shared" si="9"/>
        <v/>
      </c>
    </row>
    <row r="139" spans="1:7" ht="16.5">
      <c r="A139" s="49"/>
      <c r="B139" s="50" t="str">
        <f t="shared" si="6"/>
        <v/>
      </c>
      <c r="C139" s="47" t="str">
        <f>IF(A139="","",IF(MOD(A139-1,12)=0,C138*(1+Perfil!$C$7),C138))</f>
        <v/>
      </c>
      <c r="D139" s="47" t="str">
        <f t="shared" si="7"/>
        <v/>
      </c>
      <c r="E139" s="48" t="str">
        <f t="shared" si="5"/>
        <v/>
      </c>
      <c r="F139" s="47" t="str">
        <f t="shared" si="8"/>
        <v/>
      </c>
      <c r="G139" s="47" t="str">
        <f t="shared" si="9"/>
        <v/>
      </c>
    </row>
    <row r="140" spans="1:7" ht="16.5">
      <c r="A140" s="51"/>
      <c r="B140" s="52" t="str">
        <f t="shared" si="6"/>
        <v/>
      </c>
      <c r="C140" s="47" t="str">
        <f>IF(A140="","",IF(MOD(A140-1,12)=0,C139*(1+Perfil!$C$7),C139))</f>
        <v/>
      </c>
      <c r="D140" s="53" t="str">
        <f t="shared" si="7"/>
        <v/>
      </c>
      <c r="E140" s="54" t="str">
        <f t="shared" si="5"/>
        <v/>
      </c>
      <c r="F140" s="53" t="str">
        <f t="shared" si="8"/>
        <v/>
      </c>
      <c r="G140" s="53" t="str">
        <f t="shared" si="9"/>
        <v/>
      </c>
    </row>
    <row r="141" spans="1:7" ht="16.5">
      <c r="A141" s="51"/>
      <c r="B141" s="52" t="str">
        <f t="shared" si="6"/>
        <v/>
      </c>
      <c r="C141" s="47" t="str">
        <f>IF(A141="","",IF(MOD(A141-1,12)=0,C140*(1+Perfil!$C$7),C140))</f>
        <v/>
      </c>
      <c r="D141" s="53" t="str">
        <f t="shared" si="7"/>
        <v/>
      </c>
      <c r="E141" s="54" t="str">
        <f t="shared" si="5"/>
        <v/>
      </c>
      <c r="F141" s="53" t="str">
        <f t="shared" si="8"/>
        <v/>
      </c>
      <c r="G141" s="53" t="str">
        <f t="shared" si="9"/>
        <v/>
      </c>
    </row>
    <row r="142" spans="1:7" ht="16.5">
      <c r="A142" s="51"/>
      <c r="B142" s="52" t="str">
        <f t="shared" si="6"/>
        <v/>
      </c>
      <c r="C142" s="47" t="str">
        <f>IF(A142="","",IF(MOD(A142-1,12)=0,C141*(1+Perfil!$C$7),C141))</f>
        <v/>
      </c>
      <c r="D142" s="53" t="str">
        <f t="shared" si="7"/>
        <v/>
      </c>
      <c r="E142" s="54" t="str">
        <f t="shared" si="5"/>
        <v/>
      </c>
      <c r="F142" s="53" t="str">
        <f t="shared" si="8"/>
        <v/>
      </c>
      <c r="G142" s="53" t="str">
        <f t="shared" si="9"/>
        <v/>
      </c>
    </row>
    <row r="143" spans="1:7" ht="16.5">
      <c r="A143" s="51"/>
      <c r="B143" s="52" t="str">
        <f t="shared" si="6"/>
        <v/>
      </c>
      <c r="C143" s="47" t="str">
        <f>IF(A143="","",IF(MOD(A143-1,12)=0,C142*(1+Perfil!$C$7),C142))</f>
        <v/>
      </c>
      <c r="D143" s="53" t="str">
        <f t="shared" si="7"/>
        <v/>
      </c>
      <c r="E143" s="54" t="str">
        <f t="shared" si="5"/>
        <v/>
      </c>
      <c r="F143" s="53" t="str">
        <f t="shared" si="8"/>
        <v/>
      </c>
      <c r="G143" s="53" t="str">
        <f t="shared" si="9"/>
        <v/>
      </c>
    </row>
    <row r="144" spans="1:7" ht="16.5">
      <c r="A144" s="51"/>
      <c r="B144" s="52" t="str">
        <f t="shared" si="6"/>
        <v/>
      </c>
      <c r="C144" s="47" t="str">
        <f>IF(A144="","",IF(MOD(A144-1,12)=0,C143*(1+Perfil!$C$7),C143))</f>
        <v/>
      </c>
      <c r="D144" s="53" t="str">
        <f t="shared" si="7"/>
        <v/>
      </c>
      <c r="E144" s="54" t="str">
        <f t="shared" si="5"/>
        <v/>
      </c>
      <c r="F144" s="53" t="str">
        <f t="shared" si="8"/>
        <v/>
      </c>
      <c r="G144" s="53" t="str">
        <f t="shared" si="9"/>
        <v/>
      </c>
    </row>
    <row r="145" spans="1:7" ht="16.5">
      <c r="A145" s="51"/>
      <c r="B145" s="52" t="str">
        <f t="shared" si="6"/>
        <v/>
      </c>
      <c r="C145" s="47" t="str">
        <f>IF(A145="","",IF(MOD(A145-1,12)=0,C144*(1+Perfil!$C$7),C144))</f>
        <v/>
      </c>
      <c r="D145" s="53" t="str">
        <f t="shared" si="7"/>
        <v/>
      </c>
      <c r="E145" s="54" t="str">
        <f t="shared" si="5"/>
        <v/>
      </c>
      <c r="F145" s="53" t="str">
        <f t="shared" si="8"/>
        <v/>
      </c>
      <c r="G145" s="53" t="str">
        <f t="shared" si="9"/>
        <v/>
      </c>
    </row>
    <row r="146" spans="1:7" ht="16.5">
      <c r="A146" s="51"/>
      <c r="B146" s="52" t="str">
        <f t="shared" si="6"/>
        <v/>
      </c>
      <c r="C146" s="47" t="str">
        <f>IF(A146="","",IF(MOD(A146-1,12)=0,C145*(1+Perfil!$C$7),C145))</f>
        <v/>
      </c>
      <c r="D146" s="53" t="str">
        <f t="shared" si="7"/>
        <v/>
      </c>
      <c r="E146" s="54" t="str">
        <f t="shared" si="5"/>
        <v/>
      </c>
      <c r="F146" s="53" t="str">
        <f t="shared" si="8"/>
        <v/>
      </c>
      <c r="G146" s="53" t="str">
        <f t="shared" si="9"/>
        <v/>
      </c>
    </row>
    <row r="147" spans="1:7" ht="16.5">
      <c r="A147" s="51"/>
      <c r="B147" s="52" t="str">
        <f t="shared" si="6"/>
        <v/>
      </c>
      <c r="C147" s="47" t="str">
        <f>IF(A147="","",IF(MOD(A147-1,12)=0,C146*(1+Perfil!$C$7),C146))</f>
        <v/>
      </c>
      <c r="D147" s="53" t="str">
        <f t="shared" si="7"/>
        <v/>
      </c>
      <c r="E147" s="54" t="str">
        <f t="shared" si="5"/>
        <v/>
      </c>
      <c r="F147" s="53" t="str">
        <f t="shared" si="8"/>
        <v/>
      </c>
      <c r="G147" s="53" t="str">
        <f t="shared" si="9"/>
        <v/>
      </c>
    </row>
    <row r="148" spans="1:7" ht="16.5">
      <c r="A148" s="51"/>
      <c r="B148" s="52" t="str">
        <f t="shared" si="6"/>
        <v/>
      </c>
      <c r="C148" s="47" t="str">
        <f>IF(A148="","",IF(MOD(A148-1,12)=0,C147*(1+Perfil!$C$7),C147))</f>
        <v/>
      </c>
      <c r="D148" s="53" t="str">
        <f t="shared" si="7"/>
        <v/>
      </c>
      <c r="E148" s="54" t="str">
        <f t="shared" si="5"/>
        <v/>
      </c>
      <c r="F148" s="53" t="str">
        <f t="shared" si="8"/>
        <v/>
      </c>
      <c r="G148" s="53" t="str">
        <f t="shared" si="9"/>
        <v/>
      </c>
    </row>
    <row r="149" spans="1:7" ht="16.5">
      <c r="A149" s="51"/>
      <c r="B149" s="52" t="str">
        <f t="shared" si="6"/>
        <v/>
      </c>
      <c r="C149" s="47" t="str">
        <f>IF(A149="","",IF(MOD(A149-1,12)=0,C148*(1+Perfil!$C$7),C148))</f>
        <v/>
      </c>
      <c r="D149" s="53" t="str">
        <f t="shared" si="7"/>
        <v/>
      </c>
      <c r="E149" s="54" t="str">
        <f t="shared" ref="E149:E212" si="10">IF(A149="","",$C$10)</f>
        <v/>
      </c>
      <c r="F149" s="53" t="str">
        <f t="shared" si="8"/>
        <v/>
      </c>
      <c r="G149" s="53" t="str">
        <f t="shared" si="9"/>
        <v/>
      </c>
    </row>
    <row r="150" spans="1:7" ht="16.5">
      <c r="A150" s="51"/>
      <c r="B150" s="52" t="str">
        <f t="shared" ref="B150:B213" si="11">IF(A150="","",G149)</f>
        <v/>
      </c>
      <c r="C150" s="47" t="str">
        <f>IF(A150="","",IF(MOD(A150-1,12)=0,C149*(1+Perfil!$C$7),C149))</f>
        <v/>
      </c>
      <c r="D150" s="53" t="str">
        <f t="shared" ref="D150:D213" si="12">IF(A150="","",B150+C150)</f>
        <v/>
      </c>
      <c r="E150" s="54" t="str">
        <f t="shared" si="10"/>
        <v/>
      </c>
      <c r="F150" s="53" t="str">
        <f t="shared" ref="F150:F213" si="13">IF(A150="","",D150*E150)</f>
        <v/>
      </c>
      <c r="G150" s="53" t="str">
        <f t="shared" ref="G150:G213" si="14">IF(A150="","",D150+F150)</f>
        <v/>
      </c>
    </row>
    <row r="151" spans="1:7" ht="16.5">
      <c r="A151" s="51"/>
      <c r="B151" s="52" t="str">
        <f t="shared" si="11"/>
        <v/>
      </c>
      <c r="C151" s="47" t="str">
        <f>IF(A151="","",IF(MOD(A151-1,12)=0,C150*(1+Perfil!$C$7),C150))</f>
        <v/>
      </c>
      <c r="D151" s="53" t="str">
        <f t="shared" si="12"/>
        <v/>
      </c>
      <c r="E151" s="54" t="str">
        <f t="shared" si="10"/>
        <v/>
      </c>
      <c r="F151" s="53" t="str">
        <f t="shared" si="13"/>
        <v/>
      </c>
      <c r="G151" s="53" t="str">
        <f t="shared" si="14"/>
        <v/>
      </c>
    </row>
    <row r="152" spans="1:7" ht="16.5">
      <c r="A152" s="51"/>
      <c r="B152" s="52" t="str">
        <f t="shared" si="11"/>
        <v/>
      </c>
      <c r="C152" s="47" t="str">
        <f>IF(A152="","",IF(MOD(A152-1,12)=0,C151*(1+Perfil!$C$7),C151))</f>
        <v/>
      </c>
      <c r="D152" s="53" t="str">
        <f t="shared" si="12"/>
        <v/>
      </c>
      <c r="E152" s="54" t="str">
        <f t="shared" si="10"/>
        <v/>
      </c>
      <c r="F152" s="53" t="str">
        <f t="shared" si="13"/>
        <v/>
      </c>
      <c r="G152" s="53" t="str">
        <f t="shared" si="14"/>
        <v/>
      </c>
    </row>
    <row r="153" spans="1:7" ht="16.5">
      <c r="A153" s="51"/>
      <c r="B153" s="52" t="str">
        <f t="shared" si="11"/>
        <v/>
      </c>
      <c r="C153" s="47" t="str">
        <f>IF(A153="","",IF(MOD(A153-1,12)=0,C152*(1+Perfil!$C$7),C152))</f>
        <v/>
      </c>
      <c r="D153" s="53" t="str">
        <f t="shared" si="12"/>
        <v/>
      </c>
      <c r="E153" s="54" t="str">
        <f t="shared" si="10"/>
        <v/>
      </c>
      <c r="F153" s="53" t="str">
        <f t="shared" si="13"/>
        <v/>
      </c>
      <c r="G153" s="53" t="str">
        <f t="shared" si="14"/>
        <v/>
      </c>
    </row>
    <row r="154" spans="1:7" ht="16.5">
      <c r="A154" s="51"/>
      <c r="B154" s="52" t="str">
        <f t="shared" si="11"/>
        <v/>
      </c>
      <c r="C154" s="47" t="str">
        <f>IF(A154="","",IF(MOD(A154-1,12)=0,C153*(1+Perfil!$C$7),C153))</f>
        <v/>
      </c>
      <c r="D154" s="53" t="str">
        <f t="shared" si="12"/>
        <v/>
      </c>
      <c r="E154" s="54" t="str">
        <f t="shared" si="10"/>
        <v/>
      </c>
      <c r="F154" s="53" t="str">
        <f t="shared" si="13"/>
        <v/>
      </c>
      <c r="G154" s="53" t="str">
        <f t="shared" si="14"/>
        <v/>
      </c>
    </row>
    <row r="155" spans="1:7" ht="16.5">
      <c r="A155" s="51"/>
      <c r="B155" s="52" t="str">
        <f t="shared" si="11"/>
        <v/>
      </c>
      <c r="C155" s="47" t="str">
        <f>IF(A155="","",IF(MOD(A155-1,12)=0,C154*(1+Perfil!$C$7),C154))</f>
        <v/>
      </c>
      <c r="D155" s="53" t="str">
        <f t="shared" si="12"/>
        <v/>
      </c>
      <c r="E155" s="54" t="str">
        <f t="shared" si="10"/>
        <v/>
      </c>
      <c r="F155" s="53" t="str">
        <f t="shared" si="13"/>
        <v/>
      </c>
      <c r="G155" s="53" t="str">
        <f t="shared" si="14"/>
        <v/>
      </c>
    </row>
    <row r="156" spans="1:7" ht="16.5">
      <c r="A156" s="51"/>
      <c r="B156" s="52" t="str">
        <f t="shared" si="11"/>
        <v/>
      </c>
      <c r="C156" s="47" t="str">
        <f>IF(A156="","",IF(MOD(A156-1,12)=0,C155*(1+Perfil!$C$7),C155))</f>
        <v/>
      </c>
      <c r="D156" s="53" t="str">
        <f t="shared" si="12"/>
        <v/>
      </c>
      <c r="E156" s="54" t="str">
        <f t="shared" si="10"/>
        <v/>
      </c>
      <c r="F156" s="53" t="str">
        <f t="shared" si="13"/>
        <v/>
      </c>
      <c r="G156" s="53" t="str">
        <f t="shared" si="14"/>
        <v/>
      </c>
    </row>
    <row r="157" spans="1:7" ht="16.5">
      <c r="A157" s="51"/>
      <c r="B157" s="52" t="str">
        <f t="shared" si="11"/>
        <v/>
      </c>
      <c r="C157" s="47" t="str">
        <f>IF(A157="","",IF(MOD(A157-1,12)=0,C156*(1+Perfil!$C$7),C156))</f>
        <v/>
      </c>
      <c r="D157" s="53" t="str">
        <f t="shared" si="12"/>
        <v/>
      </c>
      <c r="E157" s="54" t="str">
        <f t="shared" si="10"/>
        <v/>
      </c>
      <c r="F157" s="53" t="str">
        <f t="shared" si="13"/>
        <v/>
      </c>
      <c r="G157" s="53" t="str">
        <f t="shared" si="14"/>
        <v/>
      </c>
    </row>
    <row r="158" spans="1:7" ht="16.5">
      <c r="A158" s="51"/>
      <c r="B158" s="52" t="str">
        <f t="shared" si="11"/>
        <v/>
      </c>
      <c r="C158" s="47" t="str">
        <f>IF(A158="","",IF(MOD(A158-1,12)=0,C157*(1+Perfil!$C$7),C157))</f>
        <v/>
      </c>
      <c r="D158" s="53" t="str">
        <f t="shared" si="12"/>
        <v/>
      </c>
      <c r="E158" s="54" t="str">
        <f t="shared" si="10"/>
        <v/>
      </c>
      <c r="F158" s="53" t="str">
        <f t="shared" si="13"/>
        <v/>
      </c>
      <c r="G158" s="53" t="str">
        <f t="shared" si="14"/>
        <v/>
      </c>
    </row>
    <row r="159" spans="1:7" ht="16.5">
      <c r="A159" s="51"/>
      <c r="B159" s="52" t="str">
        <f t="shared" si="11"/>
        <v/>
      </c>
      <c r="C159" s="47" t="str">
        <f>IF(A159="","",IF(MOD(A159-1,12)=0,C158*(1+Perfil!$C$7),C158))</f>
        <v/>
      </c>
      <c r="D159" s="53" t="str">
        <f t="shared" si="12"/>
        <v/>
      </c>
      <c r="E159" s="54" t="str">
        <f t="shared" si="10"/>
        <v/>
      </c>
      <c r="F159" s="53" t="str">
        <f t="shared" si="13"/>
        <v/>
      </c>
      <c r="G159" s="53" t="str">
        <f t="shared" si="14"/>
        <v/>
      </c>
    </row>
    <row r="160" spans="1:7" ht="16.5">
      <c r="A160" s="51"/>
      <c r="B160" s="52" t="str">
        <f t="shared" si="11"/>
        <v/>
      </c>
      <c r="C160" s="47" t="str">
        <f>IF(A160="","",IF(MOD(A160-1,12)=0,C159*(1+Perfil!$C$7),C159))</f>
        <v/>
      </c>
      <c r="D160" s="53" t="str">
        <f t="shared" si="12"/>
        <v/>
      </c>
      <c r="E160" s="54" t="str">
        <f t="shared" si="10"/>
        <v/>
      </c>
      <c r="F160" s="53" t="str">
        <f t="shared" si="13"/>
        <v/>
      </c>
      <c r="G160" s="53" t="str">
        <f t="shared" si="14"/>
        <v/>
      </c>
    </row>
    <row r="161" spans="1:7" ht="16.5">
      <c r="A161" s="51"/>
      <c r="B161" s="52" t="str">
        <f t="shared" si="11"/>
        <v/>
      </c>
      <c r="C161" s="47" t="str">
        <f>IF(A161="","",IF(MOD(A161-1,12)=0,C160*(1+Perfil!$C$7),C160))</f>
        <v/>
      </c>
      <c r="D161" s="53" t="str">
        <f t="shared" si="12"/>
        <v/>
      </c>
      <c r="E161" s="54" t="str">
        <f t="shared" si="10"/>
        <v/>
      </c>
      <c r="F161" s="53" t="str">
        <f t="shared" si="13"/>
        <v/>
      </c>
      <c r="G161" s="53" t="str">
        <f t="shared" si="14"/>
        <v/>
      </c>
    </row>
    <row r="162" spans="1:7" ht="16.5">
      <c r="A162" s="51"/>
      <c r="B162" s="52" t="str">
        <f t="shared" si="11"/>
        <v/>
      </c>
      <c r="C162" s="47" t="str">
        <f>IF(A162="","",IF(MOD(A162-1,12)=0,C161*(1+Perfil!$C$7),C161))</f>
        <v/>
      </c>
      <c r="D162" s="53" t="str">
        <f t="shared" si="12"/>
        <v/>
      </c>
      <c r="E162" s="54" t="str">
        <f t="shared" si="10"/>
        <v/>
      </c>
      <c r="F162" s="53" t="str">
        <f t="shared" si="13"/>
        <v/>
      </c>
      <c r="G162" s="53" t="str">
        <f t="shared" si="14"/>
        <v/>
      </c>
    </row>
    <row r="163" spans="1:7" ht="16.5">
      <c r="A163" s="51"/>
      <c r="B163" s="52" t="str">
        <f t="shared" si="11"/>
        <v/>
      </c>
      <c r="C163" s="47" t="str">
        <f>IF(A163="","",IF(MOD(A163-1,12)=0,C162*(1+Perfil!$C$7),C162))</f>
        <v/>
      </c>
      <c r="D163" s="53" t="str">
        <f t="shared" si="12"/>
        <v/>
      </c>
      <c r="E163" s="54" t="str">
        <f t="shared" si="10"/>
        <v/>
      </c>
      <c r="F163" s="53" t="str">
        <f t="shared" si="13"/>
        <v/>
      </c>
      <c r="G163" s="53" t="str">
        <f t="shared" si="14"/>
        <v/>
      </c>
    </row>
    <row r="164" spans="1:7" ht="16.5">
      <c r="A164" s="51"/>
      <c r="B164" s="52" t="str">
        <f t="shared" si="11"/>
        <v/>
      </c>
      <c r="C164" s="47" t="str">
        <f>IF(A164="","",IF(MOD(A164-1,12)=0,C163*(1+Perfil!$C$7),C163))</f>
        <v/>
      </c>
      <c r="D164" s="53" t="str">
        <f t="shared" si="12"/>
        <v/>
      </c>
      <c r="E164" s="54" t="str">
        <f t="shared" si="10"/>
        <v/>
      </c>
      <c r="F164" s="53" t="str">
        <f t="shared" si="13"/>
        <v/>
      </c>
      <c r="G164" s="53" t="str">
        <f t="shared" si="14"/>
        <v/>
      </c>
    </row>
    <row r="165" spans="1:7" ht="16.5">
      <c r="A165" s="51"/>
      <c r="B165" s="52" t="str">
        <f t="shared" si="11"/>
        <v/>
      </c>
      <c r="C165" s="47" t="str">
        <f>IF(A165="","",IF(MOD(A165-1,12)=0,C164*(1+Perfil!$C$7),C164))</f>
        <v/>
      </c>
      <c r="D165" s="53" t="str">
        <f t="shared" si="12"/>
        <v/>
      </c>
      <c r="E165" s="54" t="str">
        <f t="shared" si="10"/>
        <v/>
      </c>
      <c r="F165" s="53" t="str">
        <f t="shared" si="13"/>
        <v/>
      </c>
      <c r="G165" s="53" t="str">
        <f t="shared" si="14"/>
        <v/>
      </c>
    </row>
    <row r="166" spans="1:7" ht="16.5">
      <c r="A166" s="51"/>
      <c r="B166" s="52" t="str">
        <f t="shared" si="11"/>
        <v/>
      </c>
      <c r="C166" s="47" t="str">
        <f>IF(A166="","",IF(MOD(A166-1,12)=0,C165*(1+Perfil!$C$7),C165))</f>
        <v/>
      </c>
      <c r="D166" s="53" t="str">
        <f t="shared" si="12"/>
        <v/>
      </c>
      <c r="E166" s="54" t="str">
        <f t="shared" si="10"/>
        <v/>
      </c>
      <c r="F166" s="53" t="str">
        <f t="shared" si="13"/>
        <v/>
      </c>
      <c r="G166" s="53" t="str">
        <f t="shared" si="14"/>
        <v/>
      </c>
    </row>
    <row r="167" spans="1:7" ht="16.5">
      <c r="A167" s="51"/>
      <c r="B167" s="52" t="str">
        <f t="shared" si="11"/>
        <v/>
      </c>
      <c r="C167" s="47" t="str">
        <f>IF(A167="","",IF(MOD(A167-1,12)=0,C166*(1+Perfil!$C$7),C166))</f>
        <v/>
      </c>
      <c r="D167" s="53" t="str">
        <f t="shared" si="12"/>
        <v/>
      </c>
      <c r="E167" s="54" t="str">
        <f t="shared" si="10"/>
        <v/>
      </c>
      <c r="F167" s="53" t="str">
        <f t="shared" si="13"/>
        <v/>
      </c>
      <c r="G167" s="53" t="str">
        <f t="shared" si="14"/>
        <v/>
      </c>
    </row>
    <row r="168" spans="1:7" ht="16.5">
      <c r="A168" s="51"/>
      <c r="B168" s="52" t="str">
        <f t="shared" si="11"/>
        <v/>
      </c>
      <c r="C168" s="47" t="str">
        <f>IF(A168="","",IF(MOD(A168-1,12)=0,C167*(1+Perfil!$C$7),C167))</f>
        <v/>
      </c>
      <c r="D168" s="53" t="str">
        <f t="shared" si="12"/>
        <v/>
      </c>
      <c r="E168" s="54" t="str">
        <f t="shared" si="10"/>
        <v/>
      </c>
      <c r="F168" s="53" t="str">
        <f t="shared" si="13"/>
        <v/>
      </c>
      <c r="G168" s="53" t="str">
        <f t="shared" si="14"/>
        <v/>
      </c>
    </row>
    <row r="169" spans="1:7" ht="16.5">
      <c r="A169" s="51"/>
      <c r="B169" s="52" t="str">
        <f t="shared" si="11"/>
        <v/>
      </c>
      <c r="C169" s="47" t="str">
        <f>IF(A169="","",IF(MOD(A169-1,12)=0,C168*(1+Perfil!$C$7),C168))</f>
        <v/>
      </c>
      <c r="D169" s="53" t="str">
        <f t="shared" si="12"/>
        <v/>
      </c>
      <c r="E169" s="54" t="str">
        <f t="shared" si="10"/>
        <v/>
      </c>
      <c r="F169" s="53" t="str">
        <f t="shared" si="13"/>
        <v/>
      </c>
      <c r="G169" s="53" t="str">
        <f t="shared" si="14"/>
        <v/>
      </c>
    </row>
    <row r="170" spans="1:7" ht="16.5">
      <c r="A170" s="51"/>
      <c r="B170" s="52" t="str">
        <f t="shared" si="11"/>
        <v/>
      </c>
      <c r="C170" s="47" t="str">
        <f>IF(A170="","",IF(MOD(A170-1,12)=0,C169*(1+Perfil!$C$7),C169))</f>
        <v/>
      </c>
      <c r="D170" s="53" t="str">
        <f t="shared" si="12"/>
        <v/>
      </c>
      <c r="E170" s="54" t="str">
        <f t="shared" si="10"/>
        <v/>
      </c>
      <c r="F170" s="53" t="str">
        <f t="shared" si="13"/>
        <v/>
      </c>
      <c r="G170" s="53" t="str">
        <f t="shared" si="14"/>
        <v/>
      </c>
    </row>
    <row r="171" spans="1:7" ht="16.5">
      <c r="A171" s="51"/>
      <c r="B171" s="52" t="str">
        <f t="shared" si="11"/>
        <v/>
      </c>
      <c r="C171" s="47" t="str">
        <f>IF(A171="","",IF(MOD(A171-1,12)=0,C170*(1+Perfil!$C$7),C170))</f>
        <v/>
      </c>
      <c r="D171" s="53" t="str">
        <f t="shared" si="12"/>
        <v/>
      </c>
      <c r="E171" s="54" t="str">
        <f t="shared" si="10"/>
        <v/>
      </c>
      <c r="F171" s="53" t="str">
        <f t="shared" si="13"/>
        <v/>
      </c>
      <c r="G171" s="53" t="str">
        <f t="shared" si="14"/>
        <v/>
      </c>
    </row>
    <row r="172" spans="1:7" ht="16.5">
      <c r="A172" s="51"/>
      <c r="B172" s="52" t="str">
        <f t="shared" si="11"/>
        <v/>
      </c>
      <c r="C172" s="47" t="str">
        <f>IF(A172="","",IF(MOD(A172-1,12)=0,C171*(1+Perfil!$C$7),C171))</f>
        <v/>
      </c>
      <c r="D172" s="53" t="str">
        <f t="shared" si="12"/>
        <v/>
      </c>
      <c r="E172" s="54" t="str">
        <f t="shared" si="10"/>
        <v/>
      </c>
      <c r="F172" s="53" t="str">
        <f t="shared" si="13"/>
        <v/>
      </c>
      <c r="G172" s="53" t="str">
        <f t="shared" si="14"/>
        <v/>
      </c>
    </row>
    <row r="173" spans="1:7" ht="16.5">
      <c r="A173" s="51"/>
      <c r="B173" s="52" t="str">
        <f t="shared" si="11"/>
        <v/>
      </c>
      <c r="C173" s="47" t="str">
        <f>IF(A173="","",IF(MOD(A173-1,12)=0,C172*(1+Perfil!$C$7),C172))</f>
        <v/>
      </c>
      <c r="D173" s="53" t="str">
        <f t="shared" si="12"/>
        <v/>
      </c>
      <c r="E173" s="54" t="str">
        <f t="shared" si="10"/>
        <v/>
      </c>
      <c r="F173" s="53" t="str">
        <f t="shared" si="13"/>
        <v/>
      </c>
      <c r="G173" s="53" t="str">
        <f t="shared" si="14"/>
        <v/>
      </c>
    </row>
    <row r="174" spans="1:7" ht="16.5">
      <c r="A174" s="51"/>
      <c r="B174" s="52" t="str">
        <f t="shared" si="11"/>
        <v/>
      </c>
      <c r="C174" s="47" t="str">
        <f>IF(A174="","",IF(MOD(A174-1,12)=0,C173*(1+Perfil!$C$7),C173))</f>
        <v/>
      </c>
      <c r="D174" s="53" t="str">
        <f t="shared" si="12"/>
        <v/>
      </c>
      <c r="E174" s="54" t="str">
        <f t="shared" si="10"/>
        <v/>
      </c>
      <c r="F174" s="53" t="str">
        <f t="shared" si="13"/>
        <v/>
      </c>
      <c r="G174" s="53" t="str">
        <f t="shared" si="14"/>
        <v/>
      </c>
    </row>
    <row r="175" spans="1:7" ht="16.5">
      <c r="A175" s="51"/>
      <c r="B175" s="52" t="str">
        <f t="shared" si="11"/>
        <v/>
      </c>
      <c r="C175" s="47" t="str">
        <f>IF(A175="","",IF(MOD(A175-1,12)=0,C174*(1+Perfil!$C$7),C174))</f>
        <v/>
      </c>
      <c r="D175" s="53" t="str">
        <f t="shared" si="12"/>
        <v/>
      </c>
      <c r="E175" s="54" t="str">
        <f t="shared" si="10"/>
        <v/>
      </c>
      <c r="F175" s="53" t="str">
        <f t="shared" si="13"/>
        <v/>
      </c>
      <c r="G175" s="53" t="str">
        <f t="shared" si="14"/>
        <v/>
      </c>
    </row>
    <row r="176" spans="1:7" ht="16.5">
      <c r="A176" s="51"/>
      <c r="B176" s="52" t="str">
        <f t="shared" si="11"/>
        <v/>
      </c>
      <c r="C176" s="47" t="str">
        <f>IF(A176="","",IF(MOD(A176-1,12)=0,C175*(1+Perfil!$C$7),C175))</f>
        <v/>
      </c>
      <c r="D176" s="53" t="str">
        <f t="shared" si="12"/>
        <v/>
      </c>
      <c r="E176" s="54" t="str">
        <f t="shared" si="10"/>
        <v/>
      </c>
      <c r="F176" s="53" t="str">
        <f t="shared" si="13"/>
        <v/>
      </c>
      <c r="G176" s="53" t="str">
        <f t="shared" si="14"/>
        <v/>
      </c>
    </row>
    <row r="177" spans="1:7" ht="16.5">
      <c r="A177" s="51"/>
      <c r="B177" s="52" t="str">
        <f t="shared" si="11"/>
        <v/>
      </c>
      <c r="C177" s="47" t="str">
        <f>IF(A177="","",IF(MOD(A177-1,12)=0,C176*(1+Perfil!$C$7),C176))</f>
        <v/>
      </c>
      <c r="D177" s="53" t="str">
        <f t="shared" si="12"/>
        <v/>
      </c>
      <c r="E177" s="54" t="str">
        <f t="shared" si="10"/>
        <v/>
      </c>
      <c r="F177" s="53" t="str">
        <f t="shared" si="13"/>
        <v/>
      </c>
      <c r="G177" s="53" t="str">
        <f t="shared" si="14"/>
        <v/>
      </c>
    </row>
    <row r="178" spans="1:7" ht="16.5">
      <c r="A178" s="51"/>
      <c r="B178" s="52" t="str">
        <f t="shared" si="11"/>
        <v/>
      </c>
      <c r="C178" s="47" t="str">
        <f>IF(A178="","",IF(MOD(A178-1,12)=0,C177*(1+Perfil!$C$7),C177))</f>
        <v/>
      </c>
      <c r="D178" s="53" t="str">
        <f t="shared" si="12"/>
        <v/>
      </c>
      <c r="E178" s="54" t="str">
        <f t="shared" si="10"/>
        <v/>
      </c>
      <c r="F178" s="53" t="str">
        <f t="shared" si="13"/>
        <v/>
      </c>
      <c r="G178" s="53" t="str">
        <f t="shared" si="14"/>
        <v/>
      </c>
    </row>
    <row r="179" spans="1:7" ht="16.5">
      <c r="A179" s="51"/>
      <c r="B179" s="52" t="str">
        <f t="shared" si="11"/>
        <v/>
      </c>
      <c r="C179" s="47" t="str">
        <f>IF(A179="","",IF(MOD(A179-1,12)=0,C178*(1+Perfil!$C$7),C178))</f>
        <v/>
      </c>
      <c r="D179" s="53" t="str">
        <f t="shared" si="12"/>
        <v/>
      </c>
      <c r="E179" s="54" t="str">
        <f t="shared" si="10"/>
        <v/>
      </c>
      <c r="F179" s="53" t="str">
        <f t="shared" si="13"/>
        <v/>
      </c>
      <c r="G179" s="53" t="str">
        <f t="shared" si="14"/>
        <v/>
      </c>
    </row>
    <row r="180" spans="1:7" ht="16.5">
      <c r="A180" s="51"/>
      <c r="B180" s="52" t="str">
        <f t="shared" si="11"/>
        <v/>
      </c>
      <c r="C180" s="47" t="str">
        <f>IF(A180="","",IF(MOD(A180-1,12)=0,C179*(1+Perfil!$C$7),C179))</f>
        <v/>
      </c>
      <c r="D180" s="53" t="str">
        <f t="shared" si="12"/>
        <v/>
      </c>
      <c r="E180" s="54" t="str">
        <f t="shared" si="10"/>
        <v/>
      </c>
      <c r="F180" s="53" t="str">
        <f t="shared" si="13"/>
        <v/>
      </c>
      <c r="G180" s="53" t="str">
        <f t="shared" si="14"/>
        <v/>
      </c>
    </row>
    <row r="181" spans="1:7" ht="16.5">
      <c r="A181" s="51"/>
      <c r="B181" s="52" t="str">
        <f t="shared" si="11"/>
        <v/>
      </c>
      <c r="C181" s="47" t="str">
        <f>IF(A181="","",IF(MOD(A181-1,12)=0,C180*(1+Perfil!$C$7),C180))</f>
        <v/>
      </c>
      <c r="D181" s="53" t="str">
        <f t="shared" si="12"/>
        <v/>
      </c>
      <c r="E181" s="54" t="str">
        <f t="shared" si="10"/>
        <v/>
      </c>
      <c r="F181" s="53" t="str">
        <f t="shared" si="13"/>
        <v/>
      </c>
      <c r="G181" s="53" t="str">
        <f t="shared" si="14"/>
        <v/>
      </c>
    </row>
    <row r="182" spans="1:7" ht="16.5">
      <c r="A182" s="51"/>
      <c r="B182" s="52" t="str">
        <f t="shared" si="11"/>
        <v/>
      </c>
      <c r="C182" s="47" t="str">
        <f>IF(A182="","",IF(MOD(A182-1,12)=0,C181*(1+Perfil!$C$7),C181))</f>
        <v/>
      </c>
      <c r="D182" s="53" t="str">
        <f t="shared" si="12"/>
        <v/>
      </c>
      <c r="E182" s="54" t="str">
        <f t="shared" si="10"/>
        <v/>
      </c>
      <c r="F182" s="53" t="str">
        <f t="shared" si="13"/>
        <v/>
      </c>
      <c r="G182" s="53" t="str">
        <f t="shared" si="14"/>
        <v/>
      </c>
    </row>
    <row r="183" spans="1:7" ht="16.5">
      <c r="A183" s="51"/>
      <c r="B183" s="52" t="str">
        <f t="shared" si="11"/>
        <v/>
      </c>
      <c r="C183" s="47" t="str">
        <f>IF(A183="","",IF(MOD(A183-1,12)=0,C182*(1+Perfil!$C$7),C182))</f>
        <v/>
      </c>
      <c r="D183" s="53" t="str">
        <f t="shared" si="12"/>
        <v/>
      </c>
      <c r="E183" s="54" t="str">
        <f t="shared" si="10"/>
        <v/>
      </c>
      <c r="F183" s="53" t="str">
        <f t="shared" si="13"/>
        <v/>
      </c>
      <c r="G183" s="53" t="str">
        <f t="shared" si="14"/>
        <v/>
      </c>
    </row>
    <row r="184" spans="1:7" ht="16.5">
      <c r="A184" s="51"/>
      <c r="B184" s="52" t="str">
        <f t="shared" si="11"/>
        <v/>
      </c>
      <c r="C184" s="47" t="str">
        <f>IF(A184="","",IF(MOD(A184-1,12)=0,C183*(1+Perfil!$C$7),C183))</f>
        <v/>
      </c>
      <c r="D184" s="53" t="str">
        <f t="shared" si="12"/>
        <v/>
      </c>
      <c r="E184" s="54" t="str">
        <f t="shared" si="10"/>
        <v/>
      </c>
      <c r="F184" s="53" t="str">
        <f t="shared" si="13"/>
        <v/>
      </c>
      <c r="G184" s="53" t="str">
        <f t="shared" si="14"/>
        <v/>
      </c>
    </row>
    <row r="185" spans="1:7" ht="16.5">
      <c r="A185" s="51"/>
      <c r="B185" s="52" t="str">
        <f t="shared" si="11"/>
        <v/>
      </c>
      <c r="C185" s="47" t="str">
        <f>IF(A185="","",IF(MOD(A185-1,12)=0,C184*(1+Perfil!$C$7),C184))</f>
        <v/>
      </c>
      <c r="D185" s="53" t="str">
        <f t="shared" si="12"/>
        <v/>
      </c>
      <c r="E185" s="54" t="str">
        <f t="shared" si="10"/>
        <v/>
      </c>
      <c r="F185" s="53" t="str">
        <f t="shared" si="13"/>
        <v/>
      </c>
      <c r="G185" s="53" t="str">
        <f t="shared" si="14"/>
        <v/>
      </c>
    </row>
    <row r="186" spans="1:7" ht="16.5">
      <c r="A186" s="51"/>
      <c r="B186" s="52" t="str">
        <f t="shared" si="11"/>
        <v/>
      </c>
      <c r="C186" s="47" t="str">
        <f>IF(A186="","",IF(MOD(A186-1,12)=0,C185*(1+Perfil!$C$7),C185))</f>
        <v/>
      </c>
      <c r="D186" s="53" t="str">
        <f t="shared" si="12"/>
        <v/>
      </c>
      <c r="E186" s="54" t="str">
        <f t="shared" si="10"/>
        <v/>
      </c>
      <c r="F186" s="53" t="str">
        <f t="shared" si="13"/>
        <v/>
      </c>
      <c r="G186" s="53" t="str">
        <f t="shared" si="14"/>
        <v/>
      </c>
    </row>
    <row r="187" spans="1:7" ht="16.5">
      <c r="A187" s="51"/>
      <c r="B187" s="52" t="str">
        <f t="shared" si="11"/>
        <v/>
      </c>
      <c r="C187" s="47" t="str">
        <f>IF(A187="","",IF(MOD(A187-1,12)=0,C186*(1+Perfil!$C$7),C186))</f>
        <v/>
      </c>
      <c r="D187" s="53" t="str">
        <f t="shared" si="12"/>
        <v/>
      </c>
      <c r="E187" s="54" t="str">
        <f t="shared" si="10"/>
        <v/>
      </c>
      <c r="F187" s="53" t="str">
        <f t="shared" si="13"/>
        <v/>
      </c>
      <c r="G187" s="53" t="str">
        <f t="shared" si="14"/>
        <v/>
      </c>
    </row>
    <row r="188" spans="1:7" ht="16.5">
      <c r="A188" s="51"/>
      <c r="B188" s="52" t="str">
        <f t="shared" si="11"/>
        <v/>
      </c>
      <c r="C188" s="47" t="str">
        <f>IF(A188="","",IF(MOD(A188-1,12)=0,C187*(1+Perfil!$C$7),C187))</f>
        <v/>
      </c>
      <c r="D188" s="53" t="str">
        <f t="shared" si="12"/>
        <v/>
      </c>
      <c r="E188" s="54" t="str">
        <f t="shared" si="10"/>
        <v/>
      </c>
      <c r="F188" s="53" t="str">
        <f t="shared" si="13"/>
        <v/>
      </c>
      <c r="G188" s="53" t="str">
        <f t="shared" si="14"/>
        <v/>
      </c>
    </row>
    <row r="189" spans="1:7" ht="16.5">
      <c r="A189" s="51"/>
      <c r="B189" s="52" t="str">
        <f t="shared" si="11"/>
        <v/>
      </c>
      <c r="C189" s="47" t="str">
        <f>IF(A189="","",IF(MOD(A189-1,12)=0,C188*(1+Perfil!$C$7),C188))</f>
        <v/>
      </c>
      <c r="D189" s="53" t="str">
        <f t="shared" si="12"/>
        <v/>
      </c>
      <c r="E189" s="54" t="str">
        <f t="shared" si="10"/>
        <v/>
      </c>
      <c r="F189" s="53" t="str">
        <f t="shared" si="13"/>
        <v/>
      </c>
      <c r="G189" s="53" t="str">
        <f t="shared" si="14"/>
        <v/>
      </c>
    </row>
    <row r="190" spans="1:7" ht="16.5">
      <c r="A190" s="51"/>
      <c r="B190" s="52" t="str">
        <f t="shared" si="11"/>
        <v/>
      </c>
      <c r="C190" s="47" t="str">
        <f>IF(A190="","",IF(MOD(A190-1,12)=0,C189*(1+Perfil!$C$7),C189))</f>
        <v/>
      </c>
      <c r="D190" s="53" t="str">
        <f t="shared" si="12"/>
        <v/>
      </c>
      <c r="E190" s="54" t="str">
        <f t="shared" si="10"/>
        <v/>
      </c>
      <c r="F190" s="53" t="str">
        <f t="shared" si="13"/>
        <v/>
      </c>
      <c r="G190" s="53" t="str">
        <f t="shared" si="14"/>
        <v/>
      </c>
    </row>
    <row r="191" spans="1:7" ht="16.5">
      <c r="A191" s="51"/>
      <c r="B191" s="52" t="str">
        <f t="shared" si="11"/>
        <v/>
      </c>
      <c r="C191" s="47" t="str">
        <f>IF(A191="","",IF(MOD(A191-1,12)=0,C190*(1+Perfil!$C$7),C190))</f>
        <v/>
      </c>
      <c r="D191" s="53" t="str">
        <f t="shared" si="12"/>
        <v/>
      </c>
      <c r="E191" s="54" t="str">
        <f t="shared" si="10"/>
        <v/>
      </c>
      <c r="F191" s="53" t="str">
        <f t="shared" si="13"/>
        <v/>
      </c>
      <c r="G191" s="53" t="str">
        <f t="shared" si="14"/>
        <v/>
      </c>
    </row>
    <row r="192" spans="1:7" ht="16.5">
      <c r="A192" s="51"/>
      <c r="B192" s="52" t="str">
        <f t="shared" si="11"/>
        <v/>
      </c>
      <c r="C192" s="47" t="str">
        <f>IF(A192="","",IF(MOD(A192-1,12)=0,C191*(1+Perfil!$C$7),C191))</f>
        <v/>
      </c>
      <c r="D192" s="53" t="str">
        <f t="shared" si="12"/>
        <v/>
      </c>
      <c r="E192" s="54" t="str">
        <f t="shared" si="10"/>
        <v/>
      </c>
      <c r="F192" s="53" t="str">
        <f t="shared" si="13"/>
        <v/>
      </c>
      <c r="G192" s="53" t="str">
        <f t="shared" si="14"/>
        <v/>
      </c>
    </row>
    <row r="193" spans="1:7" ht="16.5">
      <c r="A193" s="51"/>
      <c r="B193" s="52" t="str">
        <f t="shared" si="11"/>
        <v/>
      </c>
      <c r="C193" s="47" t="str">
        <f>IF(A193="","",IF(MOD(A193-1,12)=0,C192*(1+Perfil!$C$7),C192))</f>
        <v/>
      </c>
      <c r="D193" s="53" t="str">
        <f t="shared" si="12"/>
        <v/>
      </c>
      <c r="E193" s="54" t="str">
        <f t="shared" si="10"/>
        <v/>
      </c>
      <c r="F193" s="53" t="str">
        <f t="shared" si="13"/>
        <v/>
      </c>
      <c r="G193" s="53" t="str">
        <f t="shared" si="14"/>
        <v/>
      </c>
    </row>
    <row r="194" spans="1:7" ht="16.5">
      <c r="A194" s="51"/>
      <c r="B194" s="52" t="str">
        <f t="shared" si="11"/>
        <v/>
      </c>
      <c r="C194" s="47" t="str">
        <f>IF(A194="","",IF(MOD(A194-1,12)=0,C193*(1+Perfil!$C$7),C193))</f>
        <v/>
      </c>
      <c r="D194" s="53" t="str">
        <f t="shared" si="12"/>
        <v/>
      </c>
      <c r="E194" s="54" t="str">
        <f t="shared" si="10"/>
        <v/>
      </c>
      <c r="F194" s="53" t="str">
        <f t="shared" si="13"/>
        <v/>
      </c>
      <c r="G194" s="53" t="str">
        <f t="shared" si="14"/>
        <v/>
      </c>
    </row>
    <row r="195" spans="1:7" ht="16.5">
      <c r="A195" s="51"/>
      <c r="B195" s="52" t="str">
        <f t="shared" si="11"/>
        <v/>
      </c>
      <c r="C195" s="47" t="str">
        <f>IF(A195="","",IF(MOD(A195-1,12)=0,C194*(1+Perfil!$C$7),C194))</f>
        <v/>
      </c>
      <c r="D195" s="53" t="str">
        <f t="shared" si="12"/>
        <v/>
      </c>
      <c r="E195" s="54" t="str">
        <f t="shared" si="10"/>
        <v/>
      </c>
      <c r="F195" s="53" t="str">
        <f t="shared" si="13"/>
        <v/>
      </c>
      <c r="G195" s="53" t="str">
        <f t="shared" si="14"/>
        <v/>
      </c>
    </row>
    <row r="196" spans="1:7" ht="16.5">
      <c r="A196" s="51"/>
      <c r="B196" s="52" t="str">
        <f t="shared" si="11"/>
        <v/>
      </c>
      <c r="C196" s="47" t="str">
        <f>IF(A196="","",IF(MOD(A196-1,12)=0,C195*(1+Perfil!$C$7),C195))</f>
        <v/>
      </c>
      <c r="D196" s="53" t="str">
        <f t="shared" si="12"/>
        <v/>
      </c>
      <c r="E196" s="54" t="str">
        <f t="shared" si="10"/>
        <v/>
      </c>
      <c r="F196" s="53" t="str">
        <f t="shared" si="13"/>
        <v/>
      </c>
      <c r="G196" s="53" t="str">
        <f t="shared" si="14"/>
        <v/>
      </c>
    </row>
    <row r="197" spans="1:7" ht="16.5">
      <c r="A197" s="51"/>
      <c r="B197" s="52" t="str">
        <f t="shared" si="11"/>
        <v/>
      </c>
      <c r="C197" s="47" t="str">
        <f>IF(A197="","",IF(MOD(A197-1,12)=0,C196*(1+Perfil!$C$7),C196))</f>
        <v/>
      </c>
      <c r="D197" s="53" t="str">
        <f t="shared" si="12"/>
        <v/>
      </c>
      <c r="E197" s="54" t="str">
        <f t="shared" si="10"/>
        <v/>
      </c>
      <c r="F197" s="53" t="str">
        <f t="shared" si="13"/>
        <v/>
      </c>
      <c r="G197" s="53" t="str">
        <f t="shared" si="14"/>
        <v/>
      </c>
    </row>
    <row r="198" spans="1:7" ht="16.5">
      <c r="A198" s="51"/>
      <c r="B198" s="52" t="str">
        <f t="shared" si="11"/>
        <v/>
      </c>
      <c r="C198" s="47" t="str">
        <f>IF(A198="","",IF(MOD(A198-1,12)=0,C197*(1+Perfil!$C$7),C197))</f>
        <v/>
      </c>
      <c r="D198" s="53" t="str">
        <f t="shared" si="12"/>
        <v/>
      </c>
      <c r="E198" s="54" t="str">
        <f t="shared" si="10"/>
        <v/>
      </c>
      <c r="F198" s="53" t="str">
        <f t="shared" si="13"/>
        <v/>
      </c>
      <c r="G198" s="53" t="str">
        <f t="shared" si="14"/>
        <v/>
      </c>
    </row>
    <row r="199" spans="1:7" ht="16.5">
      <c r="A199" s="51"/>
      <c r="B199" s="52" t="str">
        <f t="shared" si="11"/>
        <v/>
      </c>
      <c r="C199" s="47" t="str">
        <f>IF(A199="","",IF(MOD(A199-1,12)=0,C198*(1+Perfil!$C$7),C198))</f>
        <v/>
      </c>
      <c r="D199" s="53" t="str">
        <f t="shared" si="12"/>
        <v/>
      </c>
      <c r="E199" s="54" t="str">
        <f t="shared" si="10"/>
        <v/>
      </c>
      <c r="F199" s="53" t="str">
        <f t="shared" si="13"/>
        <v/>
      </c>
      <c r="G199" s="53" t="str">
        <f t="shared" si="14"/>
        <v/>
      </c>
    </row>
    <row r="200" spans="1:7" ht="16.5">
      <c r="A200" s="51"/>
      <c r="B200" s="52" t="str">
        <f t="shared" si="11"/>
        <v/>
      </c>
      <c r="C200" s="47" t="str">
        <f>IF(A200="","",IF(MOD(A200-1,12)=0,C199*(1+Perfil!$C$7),C199))</f>
        <v/>
      </c>
      <c r="D200" s="53" t="str">
        <f t="shared" si="12"/>
        <v/>
      </c>
      <c r="E200" s="54" t="str">
        <f t="shared" si="10"/>
        <v/>
      </c>
      <c r="F200" s="53" t="str">
        <f t="shared" si="13"/>
        <v/>
      </c>
      <c r="G200" s="53" t="str">
        <f t="shared" si="14"/>
        <v/>
      </c>
    </row>
    <row r="201" spans="1:7" ht="16.5">
      <c r="A201" s="51"/>
      <c r="B201" s="52" t="str">
        <f t="shared" si="11"/>
        <v/>
      </c>
      <c r="C201" s="47" t="str">
        <f>IF(A201="","",IF(MOD(A201-1,12)=0,C200*(1+Perfil!$C$7),C200))</f>
        <v/>
      </c>
      <c r="D201" s="53" t="str">
        <f t="shared" si="12"/>
        <v/>
      </c>
      <c r="E201" s="54" t="str">
        <f t="shared" si="10"/>
        <v/>
      </c>
      <c r="F201" s="53" t="str">
        <f t="shared" si="13"/>
        <v/>
      </c>
      <c r="G201" s="53" t="str">
        <f t="shared" si="14"/>
        <v/>
      </c>
    </row>
    <row r="202" spans="1:7" ht="16.5">
      <c r="A202" s="51"/>
      <c r="B202" s="52" t="str">
        <f t="shared" si="11"/>
        <v/>
      </c>
      <c r="C202" s="47" t="str">
        <f>IF(A202="","",IF(MOD(A202-1,12)=0,C201*(1+Perfil!$C$7),C201))</f>
        <v/>
      </c>
      <c r="D202" s="53" t="str">
        <f t="shared" si="12"/>
        <v/>
      </c>
      <c r="E202" s="54" t="str">
        <f t="shared" si="10"/>
        <v/>
      </c>
      <c r="F202" s="53" t="str">
        <f t="shared" si="13"/>
        <v/>
      </c>
      <c r="G202" s="53" t="str">
        <f t="shared" si="14"/>
        <v/>
      </c>
    </row>
    <row r="203" spans="1:7" ht="16.5">
      <c r="A203" s="51"/>
      <c r="B203" s="52" t="str">
        <f t="shared" si="11"/>
        <v/>
      </c>
      <c r="C203" s="47" t="str">
        <f>IF(A203="","",IF(MOD(A203-1,12)=0,C202*(1+Perfil!$C$7),C202))</f>
        <v/>
      </c>
      <c r="D203" s="53" t="str">
        <f t="shared" si="12"/>
        <v/>
      </c>
      <c r="E203" s="54" t="str">
        <f t="shared" si="10"/>
        <v/>
      </c>
      <c r="F203" s="53" t="str">
        <f t="shared" si="13"/>
        <v/>
      </c>
      <c r="G203" s="53" t="str">
        <f t="shared" si="14"/>
        <v/>
      </c>
    </row>
    <row r="204" spans="1:7" ht="16.5">
      <c r="A204" s="51"/>
      <c r="B204" s="52" t="str">
        <f t="shared" si="11"/>
        <v/>
      </c>
      <c r="C204" s="47" t="str">
        <f>IF(A204="","",IF(MOD(A204-1,12)=0,C203*(1+Perfil!$C$7),C203))</f>
        <v/>
      </c>
      <c r="D204" s="53" t="str">
        <f t="shared" si="12"/>
        <v/>
      </c>
      <c r="E204" s="54" t="str">
        <f t="shared" si="10"/>
        <v/>
      </c>
      <c r="F204" s="53" t="str">
        <f t="shared" si="13"/>
        <v/>
      </c>
      <c r="G204" s="53" t="str">
        <f t="shared" si="14"/>
        <v/>
      </c>
    </row>
    <row r="205" spans="1:7" ht="16.5">
      <c r="A205" s="51"/>
      <c r="B205" s="52" t="str">
        <f t="shared" si="11"/>
        <v/>
      </c>
      <c r="C205" s="47" t="str">
        <f>IF(A205="","",IF(MOD(A205-1,12)=0,C204*(1+Perfil!$C$7),C204))</f>
        <v/>
      </c>
      <c r="D205" s="53" t="str">
        <f t="shared" si="12"/>
        <v/>
      </c>
      <c r="E205" s="54" t="str">
        <f t="shared" si="10"/>
        <v/>
      </c>
      <c r="F205" s="53" t="str">
        <f t="shared" si="13"/>
        <v/>
      </c>
      <c r="G205" s="53" t="str">
        <f t="shared" si="14"/>
        <v/>
      </c>
    </row>
    <row r="206" spans="1:7" ht="16.5">
      <c r="A206" s="51"/>
      <c r="B206" s="52" t="str">
        <f t="shared" si="11"/>
        <v/>
      </c>
      <c r="C206" s="47" t="str">
        <f>IF(A206="","",IF(MOD(A206-1,12)=0,C205*(1+Perfil!$C$7),C205))</f>
        <v/>
      </c>
      <c r="D206" s="53" t="str">
        <f t="shared" si="12"/>
        <v/>
      </c>
      <c r="E206" s="54" t="str">
        <f t="shared" si="10"/>
        <v/>
      </c>
      <c r="F206" s="53" t="str">
        <f t="shared" si="13"/>
        <v/>
      </c>
      <c r="G206" s="53" t="str">
        <f t="shared" si="14"/>
        <v/>
      </c>
    </row>
    <row r="207" spans="1:7" ht="16.5">
      <c r="A207" s="51"/>
      <c r="B207" s="52" t="str">
        <f t="shared" si="11"/>
        <v/>
      </c>
      <c r="C207" s="47" t="str">
        <f>IF(A207="","",IF(MOD(A207-1,12)=0,C206*(1+Perfil!$C$7),C206))</f>
        <v/>
      </c>
      <c r="D207" s="53" t="str">
        <f t="shared" si="12"/>
        <v/>
      </c>
      <c r="E207" s="54" t="str">
        <f t="shared" si="10"/>
        <v/>
      </c>
      <c r="F207" s="53" t="str">
        <f t="shared" si="13"/>
        <v/>
      </c>
      <c r="G207" s="53" t="str">
        <f t="shared" si="14"/>
        <v/>
      </c>
    </row>
    <row r="208" spans="1:7" ht="16.5">
      <c r="A208" s="51"/>
      <c r="B208" s="52" t="str">
        <f t="shared" si="11"/>
        <v/>
      </c>
      <c r="C208" s="47" t="str">
        <f>IF(A208="","",IF(MOD(A208-1,12)=0,C207*(1+Perfil!$C$7),C207))</f>
        <v/>
      </c>
      <c r="D208" s="53" t="str">
        <f t="shared" si="12"/>
        <v/>
      </c>
      <c r="E208" s="54" t="str">
        <f t="shared" si="10"/>
        <v/>
      </c>
      <c r="F208" s="53" t="str">
        <f t="shared" si="13"/>
        <v/>
      </c>
      <c r="G208" s="53" t="str">
        <f t="shared" si="14"/>
        <v/>
      </c>
    </row>
    <row r="209" spans="1:7" ht="16.5">
      <c r="A209" s="51"/>
      <c r="B209" s="52" t="str">
        <f t="shared" si="11"/>
        <v/>
      </c>
      <c r="C209" s="47" t="str">
        <f>IF(A209="","",IF(MOD(A209-1,12)=0,C208*(1+Perfil!$C$7),C208))</f>
        <v/>
      </c>
      <c r="D209" s="53" t="str">
        <f t="shared" si="12"/>
        <v/>
      </c>
      <c r="E209" s="54" t="str">
        <f t="shared" si="10"/>
        <v/>
      </c>
      <c r="F209" s="53" t="str">
        <f t="shared" si="13"/>
        <v/>
      </c>
      <c r="G209" s="53" t="str">
        <f t="shared" si="14"/>
        <v/>
      </c>
    </row>
    <row r="210" spans="1:7" ht="16.5">
      <c r="A210" s="51"/>
      <c r="B210" s="52" t="str">
        <f t="shared" si="11"/>
        <v/>
      </c>
      <c r="C210" s="47" t="str">
        <f>IF(A210="","",IF(MOD(A210-1,12)=0,C209*(1+Perfil!$C$7),C209))</f>
        <v/>
      </c>
      <c r="D210" s="53" t="str">
        <f t="shared" si="12"/>
        <v/>
      </c>
      <c r="E210" s="54" t="str">
        <f t="shared" si="10"/>
        <v/>
      </c>
      <c r="F210" s="53" t="str">
        <f t="shared" si="13"/>
        <v/>
      </c>
      <c r="G210" s="53" t="str">
        <f t="shared" si="14"/>
        <v/>
      </c>
    </row>
    <row r="211" spans="1:7" ht="16.5">
      <c r="A211" s="51"/>
      <c r="B211" s="52" t="str">
        <f t="shared" si="11"/>
        <v/>
      </c>
      <c r="C211" s="47" t="str">
        <f>IF(A211="","",IF(MOD(A211-1,12)=0,C210*(1+Perfil!$C$7),C210))</f>
        <v/>
      </c>
      <c r="D211" s="53" t="str">
        <f t="shared" si="12"/>
        <v/>
      </c>
      <c r="E211" s="54" t="str">
        <f t="shared" si="10"/>
        <v/>
      </c>
      <c r="F211" s="53" t="str">
        <f t="shared" si="13"/>
        <v/>
      </c>
      <c r="G211" s="53" t="str">
        <f t="shared" si="14"/>
        <v/>
      </c>
    </row>
    <row r="212" spans="1:7" ht="16.5">
      <c r="A212" s="51"/>
      <c r="B212" s="52" t="str">
        <f t="shared" si="11"/>
        <v/>
      </c>
      <c r="C212" s="47" t="str">
        <f>IF(A212="","",IF(MOD(A212-1,12)=0,C211*(1+Perfil!$C$7),C211))</f>
        <v/>
      </c>
      <c r="D212" s="53" t="str">
        <f t="shared" si="12"/>
        <v/>
      </c>
      <c r="E212" s="54" t="str">
        <f t="shared" si="10"/>
        <v/>
      </c>
      <c r="F212" s="53" t="str">
        <f t="shared" si="13"/>
        <v/>
      </c>
      <c r="G212" s="53" t="str">
        <f t="shared" si="14"/>
        <v/>
      </c>
    </row>
    <row r="213" spans="1:7" ht="16.5">
      <c r="A213" s="51"/>
      <c r="B213" s="52" t="str">
        <f t="shared" si="11"/>
        <v/>
      </c>
      <c r="C213" s="47" t="str">
        <f>IF(A213="","",IF(MOD(A213-1,12)=0,C212*(1+Perfil!$C$7),C212))</f>
        <v/>
      </c>
      <c r="D213" s="53" t="str">
        <f t="shared" si="12"/>
        <v/>
      </c>
      <c r="E213" s="54" t="str">
        <f t="shared" ref="E213:E276" si="15">IF(A213="","",$C$10)</f>
        <v/>
      </c>
      <c r="F213" s="53" t="str">
        <f t="shared" si="13"/>
        <v/>
      </c>
      <c r="G213" s="53" t="str">
        <f t="shared" si="14"/>
        <v/>
      </c>
    </row>
    <row r="214" spans="1:7" ht="16.5">
      <c r="A214" s="51"/>
      <c r="B214" s="52" t="str">
        <f t="shared" ref="B214:B277" si="16">IF(A214="","",G213)</f>
        <v/>
      </c>
      <c r="C214" s="47" t="str">
        <f>IF(A214="","",IF(MOD(A214-1,12)=0,C213*(1+Perfil!$C$7),C213))</f>
        <v/>
      </c>
      <c r="D214" s="53" t="str">
        <f t="shared" ref="D214:D277" si="17">IF(A214="","",B214+C214)</f>
        <v/>
      </c>
      <c r="E214" s="54" t="str">
        <f t="shared" si="15"/>
        <v/>
      </c>
      <c r="F214" s="53" t="str">
        <f t="shared" ref="F214:F277" si="18">IF(A214="","",D214*E214)</f>
        <v/>
      </c>
      <c r="G214" s="53" t="str">
        <f t="shared" ref="G214:G277" si="19">IF(A214="","",D214+F214)</f>
        <v/>
      </c>
    </row>
    <row r="215" spans="1:7" ht="16.5">
      <c r="A215" s="51"/>
      <c r="B215" s="52" t="str">
        <f t="shared" si="16"/>
        <v/>
      </c>
      <c r="C215" s="47" t="str">
        <f>IF(A215="","",IF(MOD(A215-1,12)=0,C214*(1+Perfil!$C$7),C214))</f>
        <v/>
      </c>
      <c r="D215" s="53" t="str">
        <f t="shared" si="17"/>
        <v/>
      </c>
      <c r="E215" s="54" t="str">
        <f t="shared" si="15"/>
        <v/>
      </c>
      <c r="F215" s="53" t="str">
        <f t="shared" si="18"/>
        <v/>
      </c>
      <c r="G215" s="53" t="str">
        <f t="shared" si="19"/>
        <v/>
      </c>
    </row>
    <row r="216" spans="1:7" ht="16.5">
      <c r="A216" s="51"/>
      <c r="B216" s="52" t="str">
        <f t="shared" si="16"/>
        <v/>
      </c>
      <c r="C216" s="47" t="str">
        <f>IF(A216="","",IF(MOD(A216-1,12)=0,C215*(1+Perfil!$C$7),C215))</f>
        <v/>
      </c>
      <c r="D216" s="53" t="str">
        <f t="shared" si="17"/>
        <v/>
      </c>
      <c r="E216" s="54" t="str">
        <f t="shared" si="15"/>
        <v/>
      </c>
      <c r="F216" s="53" t="str">
        <f t="shared" si="18"/>
        <v/>
      </c>
      <c r="G216" s="53" t="str">
        <f t="shared" si="19"/>
        <v/>
      </c>
    </row>
    <row r="217" spans="1:7" ht="16.5">
      <c r="A217" s="51"/>
      <c r="B217" s="52" t="str">
        <f t="shared" si="16"/>
        <v/>
      </c>
      <c r="C217" s="47" t="str">
        <f>IF(A217="","",IF(MOD(A217-1,12)=0,C216*(1+Perfil!$C$7),C216))</f>
        <v/>
      </c>
      <c r="D217" s="53" t="str">
        <f t="shared" si="17"/>
        <v/>
      </c>
      <c r="E217" s="54" t="str">
        <f t="shared" si="15"/>
        <v/>
      </c>
      <c r="F217" s="53" t="str">
        <f t="shared" si="18"/>
        <v/>
      </c>
      <c r="G217" s="53" t="str">
        <f t="shared" si="19"/>
        <v/>
      </c>
    </row>
    <row r="218" spans="1:7" ht="16.5">
      <c r="A218" s="51"/>
      <c r="B218" s="52" t="str">
        <f t="shared" si="16"/>
        <v/>
      </c>
      <c r="C218" s="47" t="str">
        <f>IF(A218="","",IF(MOD(A218-1,12)=0,C217*(1+Perfil!$C$7),C217))</f>
        <v/>
      </c>
      <c r="D218" s="53" t="str">
        <f t="shared" si="17"/>
        <v/>
      </c>
      <c r="E218" s="54" t="str">
        <f t="shared" si="15"/>
        <v/>
      </c>
      <c r="F218" s="53" t="str">
        <f t="shared" si="18"/>
        <v/>
      </c>
      <c r="G218" s="53" t="str">
        <f t="shared" si="19"/>
        <v/>
      </c>
    </row>
    <row r="219" spans="1:7" ht="16.5">
      <c r="A219" s="51"/>
      <c r="B219" s="52" t="str">
        <f t="shared" si="16"/>
        <v/>
      </c>
      <c r="C219" s="47" t="str">
        <f>IF(A219="","",IF(MOD(A219-1,12)=0,C218*(1+Perfil!$C$7),C218))</f>
        <v/>
      </c>
      <c r="D219" s="53" t="str">
        <f t="shared" si="17"/>
        <v/>
      </c>
      <c r="E219" s="54" t="str">
        <f t="shared" si="15"/>
        <v/>
      </c>
      <c r="F219" s="53" t="str">
        <f t="shared" si="18"/>
        <v/>
      </c>
      <c r="G219" s="53" t="str">
        <f t="shared" si="19"/>
        <v/>
      </c>
    </row>
    <row r="220" spans="1:7" ht="16.5">
      <c r="A220" s="51"/>
      <c r="B220" s="52" t="str">
        <f t="shared" si="16"/>
        <v/>
      </c>
      <c r="C220" s="47" t="str">
        <f>IF(A220="","",IF(MOD(A220-1,12)=0,C219*(1+Perfil!$C$7),C219))</f>
        <v/>
      </c>
      <c r="D220" s="53" t="str">
        <f t="shared" si="17"/>
        <v/>
      </c>
      <c r="E220" s="54" t="str">
        <f t="shared" si="15"/>
        <v/>
      </c>
      <c r="F220" s="53" t="str">
        <f t="shared" si="18"/>
        <v/>
      </c>
      <c r="G220" s="53" t="str">
        <f t="shared" si="19"/>
        <v/>
      </c>
    </row>
    <row r="221" spans="1:7" ht="16.5">
      <c r="A221" s="51"/>
      <c r="B221" s="52" t="str">
        <f t="shared" si="16"/>
        <v/>
      </c>
      <c r="C221" s="47" t="str">
        <f>IF(A221="","",IF(MOD(A221-1,12)=0,C220*(1+Perfil!$C$7),C220))</f>
        <v/>
      </c>
      <c r="D221" s="53" t="str">
        <f t="shared" si="17"/>
        <v/>
      </c>
      <c r="E221" s="54" t="str">
        <f t="shared" si="15"/>
        <v/>
      </c>
      <c r="F221" s="53" t="str">
        <f t="shared" si="18"/>
        <v/>
      </c>
      <c r="G221" s="53" t="str">
        <f t="shared" si="19"/>
        <v/>
      </c>
    </row>
    <row r="222" spans="1:7" ht="16.5">
      <c r="A222" s="51"/>
      <c r="B222" s="52" t="str">
        <f t="shared" si="16"/>
        <v/>
      </c>
      <c r="C222" s="47" t="str">
        <f>IF(A222="","",IF(MOD(A222-1,12)=0,C221*(1+Perfil!$C$7),C221))</f>
        <v/>
      </c>
      <c r="D222" s="53" t="str">
        <f t="shared" si="17"/>
        <v/>
      </c>
      <c r="E222" s="54" t="str">
        <f t="shared" si="15"/>
        <v/>
      </c>
      <c r="F222" s="53" t="str">
        <f t="shared" si="18"/>
        <v/>
      </c>
      <c r="G222" s="53" t="str">
        <f t="shared" si="19"/>
        <v/>
      </c>
    </row>
    <row r="223" spans="1:7" ht="16.5">
      <c r="A223" s="51"/>
      <c r="B223" s="52" t="str">
        <f t="shared" si="16"/>
        <v/>
      </c>
      <c r="C223" s="47" t="str">
        <f>IF(A223="","",IF(MOD(A223-1,12)=0,C222*(1+Perfil!$C$7),C222))</f>
        <v/>
      </c>
      <c r="D223" s="53" t="str">
        <f t="shared" si="17"/>
        <v/>
      </c>
      <c r="E223" s="54" t="str">
        <f t="shared" si="15"/>
        <v/>
      </c>
      <c r="F223" s="53" t="str">
        <f t="shared" si="18"/>
        <v/>
      </c>
      <c r="G223" s="53" t="str">
        <f t="shared" si="19"/>
        <v/>
      </c>
    </row>
    <row r="224" spans="1:7" ht="16.5">
      <c r="A224" s="51"/>
      <c r="B224" s="52" t="str">
        <f t="shared" si="16"/>
        <v/>
      </c>
      <c r="C224" s="47" t="str">
        <f>IF(A224="","",IF(MOD(A224-1,12)=0,C223*(1+Perfil!$C$7),C223))</f>
        <v/>
      </c>
      <c r="D224" s="53" t="str">
        <f t="shared" si="17"/>
        <v/>
      </c>
      <c r="E224" s="54" t="str">
        <f t="shared" si="15"/>
        <v/>
      </c>
      <c r="F224" s="53" t="str">
        <f t="shared" si="18"/>
        <v/>
      </c>
      <c r="G224" s="53" t="str">
        <f t="shared" si="19"/>
        <v/>
      </c>
    </row>
    <row r="225" spans="1:7" ht="16.5">
      <c r="A225" s="51"/>
      <c r="B225" s="52" t="str">
        <f t="shared" si="16"/>
        <v/>
      </c>
      <c r="C225" s="47" t="str">
        <f>IF(A225="","",IF(MOD(A225-1,12)=0,C224*(1+Perfil!$C$7),C224))</f>
        <v/>
      </c>
      <c r="D225" s="53" t="str">
        <f t="shared" si="17"/>
        <v/>
      </c>
      <c r="E225" s="54" t="str">
        <f t="shared" si="15"/>
        <v/>
      </c>
      <c r="F225" s="53" t="str">
        <f t="shared" si="18"/>
        <v/>
      </c>
      <c r="G225" s="53" t="str">
        <f t="shared" si="19"/>
        <v/>
      </c>
    </row>
    <row r="226" spans="1:7" ht="16.5">
      <c r="A226" s="51"/>
      <c r="B226" s="52" t="str">
        <f t="shared" si="16"/>
        <v/>
      </c>
      <c r="C226" s="47" t="str">
        <f>IF(A226="","",IF(MOD(A226-1,12)=0,C225*(1+Perfil!$C$7),C225))</f>
        <v/>
      </c>
      <c r="D226" s="53" t="str">
        <f t="shared" si="17"/>
        <v/>
      </c>
      <c r="E226" s="54" t="str">
        <f t="shared" si="15"/>
        <v/>
      </c>
      <c r="F226" s="53" t="str">
        <f t="shared" si="18"/>
        <v/>
      </c>
      <c r="G226" s="53" t="str">
        <f t="shared" si="19"/>
        <v/>
      </c>
    </row>
    <row r="227" spans="1:7" ht="16.5">
      <c r="A227" s="51"/>
      <c r="B227" s="52" t="str">
        <f t="shared" si="16"/>
        <v/>
      </c>
      <c r="C227" s="47" t="str">
        <f>IF(A227="","",IF(MOD(A227-1,12)=0,C226*(1+Perfil!$C$7),C226))</f>
        <v/>
      </c>
      <c r="D227" s="53" t="str">
        <f t="shared" si="17"/>
        <v/>
      </c>
      <c r="E227" s="54" t="str">
        <f t="shared" si="15"/>
        <v/>
      </c>
      <c r="F227" s="53" t="str">
        <f t="shared" si="18"/>
        <v/>
      </c>
      <c r="G227" s="53" t="str">
        <f t="shared" si="19"/>
        <v/>
      </c>
    </row>
    <row r="228" spans="1:7" ht="16.5">
      <c r="A228" s="51"/>
      <c r="B228" s="52" t="str">
        <f t="shared" si="16"/>
        <v/>
      </c>
      <c r="C228" s="47" t="str">
        <f>IF(A228="","",IF(MOD(A228-1,12)=0,C227*(1+Perfil!$C$7),C227))</f>
        <v/>
      </c>
      <c r="D228" s="53" t="str">
        <f t="shared" si="17"/>
        <v/>
      </c>
      <c r="E228" s="54" t="str">
        <f t="shared" si="15"/>
        <v/>
      </c>
      <c r="F228" s="53" t="str">
        <f t="shared" si="18"/>
        <v/>
      </c>
      <c r="G228" s="53" t="str">
        <f t="shared" si="19"/>
        <v/>
      </c>
    </row>
    <row r="229" spans="1:7" ht="16.5">
      <c r="A229" s="51"/>
      <c r="B229" s="52" t="str">
        <f t="shared" si="16"/>
        <v/>
      </c>
      <c r="C229" s="47" t="str">
        <f>IF(A229="","",IF(MOD(A229-1,12)=0,C228*(1+Perfil!$C$7),C228))</f>
        <v/>
      </c>
      <c r="D229" s="53" t="str">
        <f t="shared" si="17"/>
        <v/>
      </c>
      <c r="E229" s="54" t="str">
        <f t="shared" si="15"/>
        <v/>
      </c>
      <c r="F229" s="53" t="str">
        <f t="shared" si="18"/>
        <v/>
      </c>
      <c r="G229" s="53" t="str">
        <f t="shared" si="19"/>
        <v/>
      </c>
    </row>
    <row r="230" spans="1:7" ht="16.5">
      <c r="A230" s="51"/>
      <c r="B230" s="52" t="str">
        <f t="shared" si="16"/>
        <v/>
      </c>
      <c r="C230" s="47" t="str">
        <f>IF(A230="","",IF(MOD(A230-1,12)=0,C229*(1+Perfil!$C$7),C229))</f>
        <v/>
      </c>
      <c r="D230" s="53" t="str">
        <f t="shared" si="17"/>
        <v/>
      </c>
      <c r="E230" s="54" t="str">
        <f t="shared" si="15"/>
        <v/>
      </c>
      <c r="F230" s="53" t="str">
        <f t="shared" si="18"/>
        <v/>
      </c>
      <c r="G230" s="53" t="str">
        <f t="shared" si="19"/>
        <v/>
      </c>
    </row>
    <row r="231" spans="1:7" ht="16.5">
      <c r="A231" s="51"/>
      <c r="B231" s="52" t="str">
        <f t="shared" si="16"/>
        <v/>
      </c>
      <c r="C231" s="47" t="str">
        <f>IF(A231="","",IF(MOD(A231-1,12)=0,C230*(1+Perfil!$C$7),C230))</f>
        <v/>
      </c>
      <c r="D231" s="53" t="str">
        <f t="shared" si="17"/>
        <v/>
      </c>
      <c r="E231" s="54" t="str">
        <f t="shared" si="15"/>
        <v/>
      </c>
      <c r="F231" s="53" t="str">
        <f t="shared" si="18"/>
        <v/>
      </c>
      <c r="G231" s="53" t="str">
        <f t="shared" si="19"/>
        <v/>
      </c>
    </row>
    <row r="232" spans="1:7" ht="16.5">
      <c r="A232" s="51"/>
      <c r="B232" s="52" t="str">
        <f t="shared" si="16"/>
        <v/>
      </c>
      <c r="C232" s="47" t="str">
        <f>IF(A232="","",IF(MOD(A232-1,12)=0,C231*(1+Perfil!$C$7),C231))</f>
        <v/>
      </c>
      <c r="D232" s="53" t="str">
        <f t="shared" si="17"/>
        <v/>
      </c>
      <c r="E232" s="54" t="str">
        <f t="shared" si="15"/>
        <v/>
      </c>
      <c r="F232" s="53" t="str">
        <f t="shared" si="18"/>
        <v/>
      </c>
      <c r="G232" s="53" t="str">
        <f t="shared" si="19"/>
        <v/>
      </c>
    </row>
    <row r="233" spans="1:7" ht="16.5">
      <c r="A233" s="51"/>
      <c r="B233" s="52" t="str">
        <f t="shared" si="16"/>
        <v/>
      </c>
      <c r="C233" s="47" t="str">
        <f>IF(A233="","",IF(MOD(A233-1,12)=0,C232*(1+Perfil!$C$7),C232))</f>
        <v/>
      </c>
      <c r="D233" s="53" t="str">
        <f t="shared" si="17"/>
        <v/>
      </c>
      <c r="E233" s="54" t="str">
        <f t="shared" si="15"/>
        <v/>
      </c>
      <c r="F233" s="53" t="str">
        <f t="shared" si="18"/>
        <v/>
      </c>
      <c r="G233" s="53" t="str">
        <f t="shared" si="19"/>
        <v/>
      </c>
    </row>
    <row r="234" spans="1:7" ht="16.5">
      <c r="A234" s="51"/>
      <c r="B234" s="52" t="str">
        <f t="shared" si="16"/>
        <v/>
      </c>
      <c r="C234" s="47" t="str">
        <f>IF(A234="","",IF(MOD(A234-1,12)=0,C233*(1+Perfil!$C$7),C233))</f>
        <v/>
      </c>
      <c r="D234" s="53" t="str">
        <f t="shared" si="17"/>
        <v/>
      </c>
      <c r="E234" s="54" t="str">
        <f t="shared" si="15"/>
        <v/>
      </c>
      <c r="F234" s="53" t="str">
        <f t="shared" si="18"/>
        <v/>
      </c>
      <c r="G234" s="53" t="str">
        <f t="shared" si="19"/>
        <v/>
      </c>
    </row>
    <row r="235" spans="1:7" ht="16.5">
      <c r="A235" s="51"/>
      <c r="B235" s="52" t="str">
        <f t="shared" si="16"/>
        <v/>
      </c>
      <c r="C235" s="47" t="str">
        <f>IF(A235="","",IF(MOD(A235-1,12)=0,C234*(1+Perfil!$C$7),C234))</f>
        <v/>
      </c>
      <c r="D235" s="53" t="str">
        <f t="shared" si="17"/>
        <v/>
      </c>
      <c r="E235" s="54" t="str">
        <f t="shared" si="15"/>
        <v/>
      </c>
      <c r="F235" s="53" t="str">
        <f t="shared" si="18"/>
        <v/>
      </c>
      <c r="G235" s="53" t="str">
        <f t="shared" si="19"/>
        <v/>
      </c>
    </row>
    <row r="236" spans="1:7" ht="16.5">
      <c r="A236" s="51"/>
      <c r="B236" s="52" t="str">
        <f t="shared" si="16"/>
        <v/>
      </c>
      <c r="C236" s="47" t="str">
        <f>IF(A236="","",IF(MOD(A236-1,12)=0,C235*(1+Perfil!$C$7),C235))</f>
        <v/>
      </c>
      <c r="D236" s="53" t="str">
        <f t="shared" si="17"/>
        <v/>
      </c>
      <c r="E236" s="54" t="str">
        <f t="shared" si="15"/>
        <v/>
      </c>
      <c r="F236" s="53" t="str">
        <f t="shared" si="18"/>
        <v/>
      </c>
      <c r="G236" s="53" t="str">
        <f t="shared" si="19"/>
        <v/>
      </c>
    </row>
    <row r="237" spans="1:7" ht="16.5">
      <c r="A237" s="51"/>
      <c r="B237" s="52" t="str">
        <f t="shared" si="16"/>
        <v/>
      </c>
      <c r="C237" s="47" t="str">
        <f>IF(A237="","",IF(MOD(A237-1,12)=0,C236*(1+Perfil!$C$7),C236))</f>
        <v/>
      </c>
      <c r="D237" s="53" t="str">
        <f t="shared" si="17"/>
        <v/>
      </c>
      <c r="E237" s="54" t="str">
        <f t="shared" si="15"/>
        <v/>
      </c>
      <c r="F237" s="53" t="str">
        <f t="shared" si="18"/>
        <v/>
      </c>
      <c r="G237" s="53" t="str">
        <f t="shared" si="19"/>
        <v/>
      </c>
    </row>
    <row r="238" spans="1:7" ht="16.5">
      <c r="A238" s="51"/>
      <c r="B238" s="52" t="str">
        <f t="shared" si="16"/>
        <v/>
      </c>
      <c r="C238" s="47" t="str">
        <f>IF(A238="","",IF(MOD(A238-1,12)=0,C237*(1+Perfil!$C$7),C237))</f>
        <v/>
      </c>
      <c r="D238" s="53" t="str">
        <f t="shared" si="17"/>
        <v/>
      </c>
      <c r="E238" s="54" t="str">
        <f t="shared" si="15"/>
        <v/>
      </c>
      <c r="F238" s="53" t="str">
        <f t="shared" si="18"/>
        <v/>
      </c>
      <c r="G238" s="53" t="str">
        <f t="shared" si="19"/>
        <v/>
      </c>
    </row>
    <row r="239" spans="1:7" ht="16.5">
      <c r="A239" s="51"/>
      <c r="B239" s="52" t="str">
        <f t="shared" si="16"/>
        <v/>
      </c>
      <c r="C239" s="47" t="str">
        <f>IF(A239="","",IF(MOD(A239-1,12)=0,C238*(1+Perfil!$C$7),C238))</f>
        <v/>
      </c>
      <c r="D239" s="53" t="str">
        <f t="shared" si="17"/>
        <v/>
      </c>
      <c r="E239" s="54" t="str">
        <f t="shared" si="15"/>
        <v/>
      </c>
      <c r="F239" s="53" t="str">
        <f t="shared" si="18"/>
        <v/>
      </c>
      <c r="G239" s="53" t="str">
        <f t="shared" si="19"/>
        <v/>
      </c>
    </row>
    <row r="240" spans="1:7" ht="16.5">
      <c r="A240" s="51"/>
      <c r="B240" s="52" t="str">
        <f t="shared" si="16"/>
        <v/>
      </c>
      <c r="C240" s="47" t="str">
        <f>IF(A240="","",IF(MOD(A240-1,12)=0,C239*(1+Perfil!$C$7),C239))</f>
        <v/>
      </c>
      <c r="D240" s="53" t="str">
        <f t="shared" si="17"/>
        <v/>
      </c>
      <c r="E240" s="54" t="str">
        <f t="shared" si="15"/>
        <v/>
      </c>
      <c r="F240" s="53" t="str">
        <f t="shared" si="18"/>
        <v/>
      </c>
      <c r="G240" s="53" t="str">
        <f t="shared" si="19"/>
        <v/>
      </c>
    </row>
    <row r="241" spans="1:7" ht="16.5">
      <c r="A241" s="51"/>
      <c r="B241" s="52" t="str">
        <f t="shared" si="16"/>
        <v/>
      </c>
      <c r="C241" s="47" t="str">
        <f>IF(A241="","",IF(MOD(A241-1,12)=0,C240*(1+Perfil!$C$7),C240))</f>
        <v/>
      </c>
      <c r="D241" s="53" t="str">
        <f t="shared" si="17"/>
        <v/>
      </c>
      <c r="E241" s="54" t="str">
        <f t="shared" si="15"/>
        <v/>
      </c>
      <c r="F241" s="53" t="str">
        <f t="shared" si="18"/>
        <v/>
      </c>
      <c r="G241" s="53" t="str">
        <f t="shared" si="19"/>
        <v/>
      </c>
    </row>
    <row r="242" spans="1:7" ht="16.5">
      <c r="A242" s="51"/>
      <c r="B242" s="52" t="str">
        <f t="shared" si="16"/>
        <v/>
      </c>
      <c r="C242" s="47" t="str">
        <f>IF(A242="","",IF(MOD(A242-1,12)=0,C241*(1+Perfil!$C$7),C241))</f>
        <v/>
      </c>
      <c r="D242" s="53" t="str">
        <f t="shared" si="17"/>
        <v/>
      </c>
      <c r="E242" s="54" t="str">
        <f t="shared" si="15"/>
        <v/>
      </c>
      <c r="F242" s="53" t="str">
        <f t="shared" si="18"/>
        <v/>
      </c>
      <c r="G242" s="53" t="str">
        <f t="shared" si="19"/>
        <v/>
      </c>
    </row>
    <row r="243" spans="1:7" ht="16.5">
      <c r="A243" s="51"/>
      <c r="B243" s="52" t="str">
        <f t="shared" si="16"/>
        <v/>
      </c>
      <c r="C243" s="47" t="str">
        <f>IF(A243="","",IF(MOD(A243-1,12)=0,C242*(1+Perfil!$C$7),C242))</f>
        <v/>
      </c>
      <c r="D243" s="53" t="str">
        <f t="shared" si="17"/>
        <v/>
      </c>
      <c r="E243" s="54" t="str">
        <f t="shared" si="15"/>
        <v/>
      </c>
      <c r="F243" s="53" t="str">
        <f t="shared" si="18"/>
        <v/>
      </c>
      <c r="G243" s="53" t="str">
        <f t="shared" si="19"/>
        <v/>
      </c>
    </row>
    <row r="244" spans="1:7" ht="16.5">
      <c r="A244" s="51"/>
      <c r="B244" s="52" t="str">
        <f t="shared" si="16"/>
        <v/>
      </c>
      <c r="C244" s="47" t="str">
        <f>IF(A244="","",IF(MOD(A244-1,12)=0,C243*(1+Perfil!$C$7),C243))</f>
        <v/>
      </c>
      <c r="D244" s="53" t="str">
        <f t="shared" si="17"/>
        <v/>
      </c>
      <c r="E244" s="54" t="str">
        <f t="shared" si="15"/>
        <v/>
      </c>
      <c r="F244" s="53" t="str">
        <f t="shared" si="18"/>
        <v/>
      </c>
      <c r="G244" s="53" t="str">
        <f t="shared" si="19"/>
        <v/>
      </c>
    </row>
    <row r="245" spans="1:7" ht="16.5">
      <c r="A245" s="51"/>
      <c r="B245" s="52" t="str">
        <f t="shared" si="16"/>
        <v/>
      </c>
      <c r="C245" s="47" t="str">
        <f>IF(A245="","",IF(MOD(A245-1,12)=0,C244*(1+Perfil!$C$7),C244))</f>
        <v/>
      </c>
      <c r="D245" s="53" t="str">
        <f t="shared" si="17"/>
        <v/>
      </c>
      <c r="E245" s="54" t="str">
        <f t="shared" si="15"/>
        <v/>
      </c>
      <c r="F245" s="53" t="str">
        <f t="shared" si="18"/>
        <v/>
      </c>
      <c r="G245" s="53" t="str">
        <f t="shared" si="19"/>
        <v/>
      </c>
    </row>
    <row r="246" spans="1:7" ht="16.5">
      <c r="A246" s="51"/>
      <c r="B246" s="52" t="str">
        <f t="shared" si="16"/>
        <v/>
      </c>
      <c r="C246" s="47" t="str">
        <f>IF(A246="","",IF(MOD(A246-1,12)=0,C245*(1+Perfil!$C$7),C245))</f>
        <v/>
      </c>
      <c r="D246" s="53" t="str">
        <f t="shared" si="17"/>
        <v/>
      </c>
      <c r="E246" s="54" t="str">
        <f t="shared" si="15"/>
        <v/>
      </c>
      <c r="F246" s="53" t="str">
        <f t="shared" si="18"/>
        <v/>
      </c>
      <c r="G246" s="53" t="str">
        <f t="shared" si="19"/>
        <v/>
      </c>
    </row>
    <row r="247" spans="1:7" ht="16.5">
      <c r="A247" s="51"/>
      <c r="B247" s="52" t="str">
        <f t="shared" si="16"/>
        <v/>
      </c>
      <c r="C247" s="47" t="str">
        <f>IF(A247="","",IF(MOD(A247-1,12)=0,C246*(1+Perfil!$C$7),C246))</f>
        <v/>
      </c>
      <c r="D247" s="53" t="str">
        <f t="shared" si="17"/>
        <v/>
      </c>
      <c r="E247" s="54" t="str">
        <f t="shared" si="15"/>
        <v/>
      </c>
      <c r="F247" s="53" t="str">
        <f t="shared" si="18"/>
        <v/>
      </c>
      <c r="G247" s="53" t="str">
        <f t="shared" si="19"/>
        <v/>
      </c>
    </row>
    <row r="248" spans="1:7" ht="16.5">
      <c r="A248" s="51"/>
      <c r="B248" s="52" t="str">
        <f t="shared" si="16"/>
        <v/>
      </c>
      <c r="C248" s="47" t="str">
        <f>IF(A248="","",IF(MOD(A248-1,12)=0,C247*(1+Perfil!$C$7),C247))</f>
        <v/>
      </c>
      <c r="D248" s="53" t="str">
        <f t="shared" si="17"/>
        <v/>
      </c>
      <c r="E248" s="54" t="str">
        <f t="shared" si="15"/>
        <v/>
      </c>
      <c r="F248" s="53" t="str">
        <f t="shared" si="18"/>
        <v/>
      </c>
      <c r="G248" s="53" t="str">
        <f t="shared" si="19"/>
        <v/>
      </c>
    </row>
    <row r="249" spans="1:7" ht="16.5">
      <c r="A249" s="51"/>
      <c r="B249" s="52" t="str">
        <f t="shared" si="16"/>
        <v/>
      </c>
      <c r="C249" s="47" t="str">
        <f>IF(A249="","",IF(MOD(A249-1,12)=0,C248*(1+Perfil!$C$7),C248))</f>
        <v/>
      </c>
      <c r="D249" s="53" t="str">
        <f t="shared" si="17"/>
        <v/>
      </c>
      <c r="E249" s="54" t="str">
        <f t="shared" si="15"/>
        <v/>
      </c>
      <c r="F249" s="53" t="str">
        <f t="shared" si="18"/>
        <v/>
      </c>
      <c r="G249" s="53" t="str">
        <f t="shared" si="19"/>
        <v/>
      </c>
    </row>
    <row r="250" spans="1:7" ht="16.5">
      <c r="A250" s="51"/>
      <c r="B250" s="52" t="str">
        <f t="shared" si="16"/>
        <v/>
      </c>
      <c r="C250" s="47" t="str">
        <f>IF(A250="","",IF(MOD(A250-1,12)=0,C249*(1+Perfil!$C$7),C249))</f>
        <v/>
      </c>
      <c r="D250" s="53" t="str">
        <f t="shared" si="17"/>
        <v/>
      </c>
      <c r="E250" s="54" t="str">
        <f t="shared" si="15"/>
        <v/>
      </c>
      <c r="F250" s="53" t="str">
        <f t="shared" si="18"/>
        <v/>
      </c>
      <c r="G250" s="53" t="str">
        <f t="shared" si="19"/>
        <v/>
      </c>
    </row>
    <row r="251" spans="1:7" ht="16.5">
      <c r="A251" s="51"/>
      <c r="B251" s="52" t="str">
        <f t="shared" si="16"/>
        <v/>
      </c>
      <c r="C251" s="47" t="str">
        <f>IF(A251="","",IF(MOD(A251-1,12)=0,C250*(1+Perfil!$C$7),C250))</f>
        <v/>
      </c>
      <c r="D251" s="53" t="str">
        <f t="shared" si="17"/>
        <v/>
      </c>
      <c r="E251" s="54" t="str">
        <f t="shared" si="15"/>
        <v/>
      </c>
      <c r="F251" s="53" t="str">
        <f t="shared" si="18"/>
        <v/>
      </c>
      <c r="G251" s="53" t="str">
        <f t="shared" si="19"/>
        <v/>
      </c>
    </row>
    <row r="252" spans="1:7" ht="16.5">
      <c r="A252" s="51"/>
      <c r="B252" s="52" t="str">
        <f t="shared" si="16"/>
        <v/>
      </c>
      <c r="C252" s="47" t="str">
        <f>IF(A252="","",IF(MOD(A252-1,12)=0,C251*(1+Perfil!$C$7),C251))</f>
        <v/>
      </c>
      <c r="D252" s="53" t="str">
        <f t="shared" si="17"/>
        <v/>
      </c>
      <c r="E252" s="54" t="str">
        <f t="shared" si="15"/>
        <v/>
      </c>
      <c r="F252" s="53" t="str">
        <f t="shared" si="18"/>
        <v/>
      </c>
      <c r="G252" s="53" t="str">
        <f t="shared" si="19"/>
        <v/>
      </c>
    </row>
    <row r="253" spans="1:7" ht="16.5">
      <c r="A253" s="51"/>
      <c r="B253" s="52" t="str">
        <f t="shared" si="16"/>
        <v/>
      </c>
      <c r="C253" s="47" t="str">
        <f>IF(A253="","",IF(MOD(A253-1,12)=0,C252*(1+Perfil!$C$7),C252))</f>
        <v/>
      </c>
      <c r="D253" s="53" t="str">
        <f t="shared" si="17"/>
        <v/>
      </c>
      <c r="E253" s="54" t="str">
        <f t="shared" si="15"/>
        <v/>
      </c>
      <c r="F253" s="53" t="str">
        <f t="shared" si="18"/>
        <v/>
      </c>
      <c r="G253" s="53" t="str">
        <f t="shared" si="19"/>
        <v/>
      </c>
    </row>
    <row r="254" spans="1:7" ht="16.5">
      <c r="A254" s="51"/>
      <c r="B254" s="52" t="str">
        <f t="shared" si="16"/>
        <v/>
      </c>
      <c r="C254" s="47" t="str">
        <f>IF(A254="","",IF(MOD(A254-1,12)=0,C253*(1+Perfil!$C$7),C253))</f>
        <v/>
      </c>
      <c r="D254" s="53" t="str">
        <f t="shared" si="17"/>
        <v/>
      </c>
      <c r="E254" s="54" t="str">
        <f t="shared" si="15"/>
        <v/>
      </c>
      <c r="F254" s="53" t="str">
        <f t="shared" si="18"/>
        <v/>
      </c>
      <c r="G254" s="53" t="str">
        <f t="shared" si="19"/>
        <v/>
      </c>
    </row>
    <row r="255" spans="1:7" ht="16.5">
      <c r="A255" s="51"/>
      <c r="B255" s="52" t="str">
        <f t="shared" si="16"/>
        <v/>
      </c>
      <c r="C255" s="47" t="str">
        <f>IF(A255="","",IF(MOD(A255-1,12)=0,C254*(1+Perfil!$C$7),C254))</f>
        <v/>
      </c>
      <c r="D255" s="53" t="str">
        <f t="shared" si="17"/>
        <v/>
      </c>
      <c r="E255" s="54" t="str">
        <f t="shared" si="15"/>
        <v/>
      </c>
      <c r="F255" s="53" t="str">
        <f t="shared" si="18"/>
        <v/>
      </c>
      <c r="G255" s="53" t="str">
        <f t="shared" si="19"/>
        <v/>
      </c>
    </row>
    <row r="256" spans="1:7" ht="16.5">
      <c r="A256" s="51"/>
      <c r="B256" s="52" t="str">
        <f t="shared" si="16"/>
        <v/>
      </c>
      <c r="C256" s="47" t="str">
        <f>IF(A256="","",IF(MOD(A256-1,12)=0,C255*(1+Perfil!$C$7),C255))</f>
        <v/>
      </c>
      <c r="D256" s="53" t="str">
        <f t="shared" si="17"/>
        <v/>
      </c>
      <c r="E256" s="54" t="str">
        <f t="shared" si="15"/>
        <v/>
      </c>
      <c r="F256" s="53" t="str">
        <f t="shared" si="18"/>
        <v/>
      </c>
      <c r="G256" s="53" t="str">
        <f t="shared" si="19"/>
        <v/>
      </c>
    </row>
    <row r="257" spans="1:7" ht="16.5">
      <c r="A257" s="51"/>
      <c r="B257" s="52" t="str">
        <f t="shared" si="16"/>
        <v/>
      </c>
      <c r="C257" s="47" t="str">
        <f>IF(A257="","",IF(MOD(A257-1,12)=0,C256*(1+Perfil!$C$7),C256))</f>
        <v/>
      </c>
      <c r="D257" s="53" t="str">
        <f t="shared" si="17"/>
        <v/>
      </c>
      <c r="E257" s="54" t="str">
        <f t="shared" si="15"/>
        <v/>
      </c>
      <c r="F257" s="53" t="str">
        <f t="shared" si="18"/>
        <v/>
      </c>
      <c r="G257" s="53" t="str">
        <f t="shared" si="19"/>
        <v/>
      </c>
    </row>
    <row r="258" spans="1:7" ht="16.5">
      <c r="A258" s="51"/>
      <c r="B258" s="52" t="str">
        <f t="shared" si="16"/>
        <v/>
      </c>
      <c r="C258" s="47" t="str">
        <f>IF(A258="","",IF(MOD(A258-1,12)=0,C257*(1+Perfil!$C$7),C257))</f>
        <v/>
      </c>
      <c r="D258" s="53" t="str">
        <f t="shared" si="17"/>
        <v/>
      </c>
      <c r="E258" s="54" t="str">
        <f t="shared" si="15"/>
        <v/>
      </c>
      <c r="F258" s="53" t="str">
        <f t="shared" si="18"/>
        <v/>
      </c>
      <c r="G258" s="53" t="str">
        <f t="shared" si="19"/>
        <v/>
      </c>
    </row>
    <row r="259" spans="1:7" ht="16.5">
      <c r="A259" s="51"/>
      <c r="B259" s="52" t="str">
        <f t="shared" si="16"/>
        <v/>
      </c>
      <c r="C259" s="47" t="str">
        <f>IF(A259="","",IF(MOD(A259-1,12)=0,C258*(1+Perfil!$C$7),C258))</f>
        <v/>
      </c>
      <c r="D259" s="53" t="str">
        <f t="shared" si="17"/>
        <v/>
      </c>
      <c r="E259" s="54" t="str">
        <f t="shared" si="15"/>
        <v/>
      </c>
      <c r="F259" s="53" t="str">
        <f t="shared" si="18"/>
        <v/>
      </c>
      <c r="G259" s="53" t="str">
        <f t="shared" si="19"/>
        <v/>
      </c>
    </row>
    <row r="260" spans="1:7" ht="16.5">
      <c r="A260" s="51"/>
      <c r="B260" s="52" t="str">
        <f t="shared" si="16"/>
        <v/>
      </c>
      <c r="C260" s="47" t="str">
        <f>IF(A260="","",IF(MOD(A260-1,12)=0,C259*(1+Perfil!$C$7),C259))</f>
        <v/>
      </c>
      <c r="D260" s="53" t="str">
        <f t="shared" si="17"/>
        <v/>
      </c>
      <c r="E260" s="54" t="str">
        <f t="shared" si="15"/>
        <v/>
      </c>
      <c r="F260" s="53" t="str">
        <f t="shared" si="18"/>
        <v/>
      </c>
      <c r="G260" s="53" t="str">
        <f t="shared" si="19"/>
        <v/>
      </c>
    </row>
    <row r="261" spans="1:7" ht="16.5">
      <c r="A261" s="51"/>
      <c r="B261" s="52" t="str">
        <f t="shared" si="16"/>
        <v/>
      </c>
      <c r="C261" s="47" t="str">
        <f>IF(A261="","",IF(MOD(A261-1,12)=0,C260*(1+Perfil!$C$7),C260))</f>
        <v/>
      </c>
      <c r="D261" s="53" t="str">
        <f t="shared" si="17"/>
        <v/>
      </c>
      <c r="E261" s="54" t="str">
        <f t="shared" si="15"/>
        <v/>
      </c>
      <c r="F261" s="53" t="str">
        <f t="shared" si="18"/>
        <v/>
      </c>
      <c r="G261" s="53" t="str">
        <f t="shared" si="19"/>
        <v/>
      </c>
    </row>
    <row r="262" spans="1:7" ht="16.5">
      <c r="A262" s="51"/>
      <c r="B262" s="52" t="str">
        <f t="shared" si="16"/>
        <v/>
      </c>
      <c r="C262" s="47" t="str">
        <f>IF(A262="","",IF(MOD(A262-1,12)=0,C261*(1+Perfil!$C$7),C261))</f>
        <v/>
      </c>
      <c r="D262" s="53" t="str">
        <f t="shared" si="17"/>
        <v/>
      </c>
      <c r="E262" s="54" t="str">
        <f t="shared" si="15"/>
        <v/>
      </c>
      <c r="F262" s="53" t="str">
        <f t="shared" si="18"/>
        <v/>
      </c>
      <c r="G262" s="53" t="str">
        <f t="shared" si="19"/>
        <v/>
      </c>
    </row>
    <row r="263" spans="1:7" ht="16.5">
      <c r="A263" s="51"/>
      <c r="B263" s="52" t="str">
        <f t="shared" si="16"/>
        <v/>
      </c>
      <c r="C263" s="47" t="str">
        <f>IF(A263="","",IF(MOD(A263-1,12)=0,C262*(1+Perfil!$C$7),C262))</f>
        <v/>
      </c>
      <c r="D263" s="53" t="str">
        <f t="shared" si="17"/>
        <v/>
      </c>
      <c r="E263" s="54" t="str">
        <f t="shared" si="15"/>
        <v/>
      </c>
      <c r="F263" s="53" t="str">
        <f t="shared" si="18"/>
        <v/>
      </c>
      <c r="G263" s="53" t="str">
        <f t="shared" si="19"/>
        <v/>
      </c>
    </row>
    <row r="264" spans="1:7" ht="16.5">
      <c r="A264" s="51"/>
      <c r="B264" s="52" t="str">
        <f t="shared" si="16"/>
        <v/>
      </c>
      <c r="C264" s="47" t="str">
        <f>IF(A264="","",IF(MOD(A264-1,12)=0,C263*(1+Perfil!$C$7),C263))</f>
        <v/>
      </c>
      <c r="D264" s="53" t="str">
        <f t="shared" si="17"/>
        <v/>
      </c>
      <c r="E264" s="54" t="str">
        <f t="shared" si="15"/>
        <v/>
      </c>
      <c r="F264" s="53" t="str">
        <f t="shared" si="18"/>
        <v/>
      </c>
      <c r="G264" s="53" t="str">
        <f t="shared" si="19"/>
        <v/>
      </c>
    </row>
    <row r="265" spans="1:7" ht="16.5">
      <c r="A265" s="51"/>
      <c r="B265" s="52" t="str">
        <f t="shared" si="16"/>
        <v/>
      </c>
      <c r="C265" s="47" t="str">
        <f>IF(A265="","",IF(MOD(A265-1,12)=0,C264*(1+Perfil!$C$7),C264))</f>
        <v/>
      </c>
      <c r="D265" s="53" t="str">
        <f t="shared" si="17"/>
        <v/>
      </c>
      <c r="E265" s="54" t="str">
        <f t="shared" si="15"/>
        <v/>
      </c>
      <c r="F265" s="53" t="str">
        <f t="shared" si="18"/>
        <v/>
      </c>
      <c r="G265" s="53" t="str">
        <f t="shared" si="19"/>
        <v/>
      </c>
    </row>
    <row r="266" spans="1:7" ht="16.5">
      <c r="A266" s="51"/>
      <c r="B266" s="52" t="str">
        <f t="shared" si="16"/>
        <v/>
      </c>
      <c r="C266" s="47" t="str">
        <f>IF(A266="","",IF(MOD(A266-1,12)=0,C265*(1+Perfil!$C$7),C265))</f>
        <v/>
      </c>
      <c r="D266" s="53" t="str">
        <f t="shared" si="17"/>
        <v/>
      </c>
      <c r="E266" s="54" t="str">
        <f t="shared" si="15"/>
        <v/>
      </c>
      <c r="F266" s="53" t="str">
        <f t="shared" si="18"/>
        <v/>
      </c>
      <c r="G266" s="53" t="str">
        <f t="shared" si="19"/>
        <v/>
      </c>
    </row>
    <row r="267" spans="1:7" ht="16.5">
      <c r="A267" s="51"/>
      <c r="B267" s="52" t="str">
        <f t="shared" si="16"/>
        <v/>
      </c>
      <c r="C267" s="47" t="str">
        <f>IF(A267="","",IF(MOD(A267-1,12)=0,C266*(1+Perfil!$C$7),C266))</f>
        <v/>
      </c>
      <c r="D267" s="53" t="str">
        <f t="shared" si="17"/>
        <v/>
      </c>
      <c r="E267" s="54" t="str">
        <f t="shared" si="15"/>
        <v/>
      </c>
      <c r="F267" s="53" t="str">
        <f t="shared" si="18"/>
        <v/>
      </c>
      <c r="G267" s="53" t="str">
        <f t="shared" si="19"/>
        <v/>
      </c>
    </row>
    <row r="268" spans="1:7" ht="16.5">
      <c r="A268" s="51"/>
      <c r="B268" s="52" t="str">
        <f t="shared" si="16"/>
        <v/>
      </c>
      <c r="C268" s="47" t="str">
        <f>IF(A268="","",IF(MOD(A268-1,12)=0,C267*(1+Perfil!$C$7),C267))</f>
        <v/>
      </c>
      <c r="D268" s="53" t="str">
        <f t="shared" si="17"/>
        <v/>
      </c>
      <c r="E268" s="54" t="str">
        <f t="shared" si="15"/>
        <v/>
      </c>
      <c r="F268" s="53" t="str">
        <f t="shared" si="18"/>
        <v/>
      </c>
      <c r="G268" s="53" t="str">
        <f t="shared" si="19"/>
        <v/>
      </c>
    </row>
    <row r="269" spans="1:7" ht="16.5">
      <c r="A269" s="51"/>
      <c r="B269" s="52" t="str">
        <f t="shared" si="16"/>
        <v/>
      </c>
      <c r="C269" s="47" t="str">
        <f>IF(A269="","",IF(MOD(A269-1,12)=0,C268*(1+Perfil!$C$7),C268))</f>
        <v/>
      </c>
      <c r="D269" s="53" t="str">
        <f t="shared" si="17"/>
        <v/>
      </c>
      <c r="E269" s="54" t="str">
        <f t="shared" si="15"/>
        <v/>
      </c>
      <c r="F269" s="53" t="str">
        <f t="shared" si="18"/>
        <v/>
      </c>
      <c r="G269" s="53" t="str">
        <f t="shared" si="19"/>
        <v/>
      </c>
    </row>
    <row r="270" spans="1:7" ht="16.5">
      <c r="A270" s="51"/>
      <c r="B270" s="52" t="str">
        <f t="shared" si="16"/>
        <v/>
      </c>
      <c r="C270" s="47" t="str">
        <f>IF(A270="","",IF(MOD(A270-1,12)=0,C269*(1+Perfil!$C$7),C269))</f>
        <v/>
      </c>
      <c r="D270" s="53" t="str">
        <f t="shared" si="17"/>
        <v/>
      </c>
      <c r="E270" s="54" t="str">
        <f t="shared" si="15"/>
        <v/>
      </c>
      <c r="F270" s="53" t="str">
        <f t="shared" si="18"/>
        <v/>
      </c>
      <c r="G270" s="53" t="str">
        <f t="shared" si="19"/>
        <v/>
      </c>
    </row>
    <row r="271" spans="1:7" ht="16.5">
      <c r="A271" s="51"/>
      <c r="B271" s="52" t="str">
        <f t="shared" si="16"/>
        <v/>
      </c>
      <c r="C271" s="47" t="str">
        <f>IF(A271="","",IF(MOD(A271-1,12)=0,C270*(1+Perfil!$C$7),C270))</f>
        <v/>
      </c>
      <c r="D271" s="53" t="str">
        <f t="shared" si="17"/>
        <v/>
      </c>
      <c r="E271" s="54" t="str">
        <f t="shared" si="15"/>
        <v/>
      </c>
      <c r="F271" s="53" t="str">
        <f t="shared" si="18"/>
        <v/>
      </c>
      <c r="G271" s="53" t="str">
        <f t="shared" si="19"/>
        <v/>
      </c>
    </row>
    <row r="272" spans="1:7" ht="16.5">
      <c r="A272" s="51"/>
      <c r="B272" s="52" t="str">
        <f t="shared" si="16"/>
        <v/>
      </c>
      <c r="C272" s="47" t="str">
        <f>IF(A272="","",IF(MOD(A272-1,12)=0,C271*(1+Perfil!$C$7),C271))</f>
        <v/>
      </c>
      <c r="D272" s="53" t="str">
        <f t="shared" si="17"/>
        <v/>
      </c>
      <c r="E272" s="54" t="str">
        <f t="shared" si="15"/>
        <v/>
      </c>
      <c r="F272" s="53" t="str">
        <f t="shared" si="18"/>
        <v/>
      </c>
      <c r="G272" s="53" t="str">
        <f t="shared" si="19"/>
        <v/>
      </c>
    </row>
    <row r="273" spans="1:7" ht="16.5">
      <c r="A273" s="51"/>
      <c r="B273" s="52" t="str">
        <f t="shared" si="16"/>
        <v/>
      </c>
      <c r="C273" s="47" t="str">
        <f>IF(A273="","",IF(MOD(A273-1,12)=0,C272*(1+Perfil!$C$7),C272))</f>
        <v/>
      </c>
      <c r="D273" s="53" t="str">
        <f t="shared" si="17"/>
        <v/>
      </c>
      <c r="E273" s="54" t="str">
        <f t="shared" si="15"/>
        <v/>
      </c>
      <c r="F273" s="53" t="str">
        <f t="shared" si="18"/>
        <v/>
      </c>
      <c r="G273" s="53" t="str">
        <f t="shared" si="19"/>
        <v/>
      </c>
    </row>
    <row r="274" spans="1:7" ht="16.5">
      <c r="A274" s="51"/>
      <c r="B274" s="52" t="str">
        <f t="shared" si="16"/>
        <v/>
      </c>
      <c r="C274" s="47" t="str">
        <f>IF(A274="","",IF(MOD(A274-1,12)=0,C273*(1+Perfil!$C$7),C273))</f>
        <v/>
      </c>
      <c r="D274" s="53" t="str">
        <f t="shared" si="17"/>
        <v/>
      </c>
      <c r="E274" s="54" t="str">
        <f t="shared" si="15"/>
        <v/>
      </c>
      <c r="F274" s="53" t="str">
        <f t="shared" si="18"/>
        <v/>
      </c>
      <c r="G274" s="53" t="str">
        <f t="shared" si="19"/>
        <v/>
      </c>
    </row>
    <row r="275" spans="1:7" ht="16.5">
      <c r="A275" s="51"/>
      <c r="B275" s="52" t="str">
        <f t="shared" si="16"/>
        <v/>
      </c>
      <c r="C275" s="47" t="str">
        <f>IF(A275="","",IF(MOD(A275-1,12)=0,C274*(1+Perfil!$C$7),C274))</f>
        <v/>
      </c>
      <c r="D275" s="53" t="str">
        <f t="shared" si="17"/>
        <v/>
      </c>
      <c r="E275" s="54" t="str">
        <f t="shared" si="15"/>
        <v/>
      </c>
      <c r="F275" s="53" t="str">
        <f t="shared" si="18"/>
        <v/>
      </c>
      <c r="G275" s="53" t="str">
        <f t="shared" si="19"/>
        <v/>
      </c>
    </row>
    <row r="276" spans="1:7" ht="16.5">
      <c r="A276" s="51"/>
      <c r="B276" s="52" t="str">
        <f t="shared" si="16"/>
        <v/>
      </c>
      <c r="C276" s="47" t="str">
        <f>IF(A276="","",IF(MOD(A276-1,12)=0,C275*(1+Perfil!$C$7),C275))</f>
        <v/>
      </c>
      <c r="D276" s="53" t="str">
        <f t="shared" si="17"/>
        <v/>
      </c>
      <c r="E276" s="54" t="str">
        <f t="shared" si="15"/>
        <v/>
      </c>
      <c r="F276" s="53" t="str">
        <f t="shared" si="18"/>
        <v/>
      </c>
      <c r="G276" s="53" t="str">
        <f t="shared" si="19"/>
        <v/>
      </c>
    </row>
    <row r="277" spans="1:7" ht="16.5">
      <c r="A277" s="51"/>
      <c r="B277" s="52" t="str">
        <f t="shared" si="16"/>
        <v/>
      </c>
      <c r="C277" s="47" t="str">
        <f>IF(A277="","",IF(MOD(A277-1,12)=0,C276*(1+Perfil!$C$7),C276))</f>
        <v/>
      </c>
      <c r="D277" s="53" t="str">
        <f t="shared" si="17"/>
        <v/>
      </c>
      <c r="E277" s="54" t="str">
        <f t="shared" ref="E277:E340" si="20">IF(A277="","",$C$10)</f>
        <v/>
      </c>
      <c r="F277" s="53" t="str">
        <f t="shared" si="18"/>
        <v/>
      </c>
      <c r="G277" s="53" t="str">
        <f t="shared" si="19"/>
        <v/>
      </c>
    </row>
    <row r="278" spans="1:7" ht="16.5">
      <c r="A278" s="51"/>
      <c r="B278" s="52" t="str">
        <f t="shared" ref="B278:B341" si="21">IF(A278="","",G277)</f>
        <v/>
      </c>
      <c r="C278" s="47" t="str">
        <f>IF(A278="","",IF(MOD(A278-1,12)=0,C277*(1+Perfil!$C$7),C277))</f>
        <v/>
      </c>
      <c r="D278" s="53" t="str">
        <f t="shared" ref="D278:D341" si="22">IF(A278="","",B278+C278)</f>
        <v/>
      </c>
      <c r="E278" s="54" t="str">
        <f t="shared" si="20"/>
        <v/>
      </c>
      <c r="F278" s="53" t="str">
        <f t="shared" ref="F278:F341" si="23">IF(A278="","",D278*E278)</f>
        <v/>
      </c>
      <c r="G278" s="53" t="str">
        <f t="shared" ref="G278:G341" si="24">IF(A278="","",D278+F278)</f>
        <v/>
      </c>
    </row>
    <row r="279" spans="1:7" ht="16.5">
      <c r="A279" s="51"/>
      <c r="B279" s="52" t="str">
        <f t="shared" si="21"/>
        <v/>
      </c>
      <c r="C279" s="47" t="str">
        <f>IF(A279="","",IF(MOD(A279-1,12)=0,C278*(1+Perfil!$C$7),C278))</f>
        <v/>
      </c>
      <c r="D279" s="53" t="str">
        <f t="shared" si="22"/>
        <v/>
      </c>
      <c r="E279" s="54" t="str">
        <f t="shared" si="20"/>
        <v/>
      </c>
      <c r="F279" s="53" t="str">
        <f t="shared" si="23"/>
        <v/>
      </c>
      <c r="G279" s="53" t="str">
        <f t="shared" si="24"/>
        <v/>
      </c>
    </row>
    <row r="280" spans="1:7" ht="16.5">
      <c r="A280" s="51"/>
      <c r="B280" s="52" t="str">
        <f t="shared" si="21"/>
        <v/>
      </c>
      <c r="C280" s="47" t="str">
        <f>IF(A280="","",IF(MOD(A280-1,12)=0,C279*(1+Perfil!$C$7),C279))</f>
        <v/>
      </c>
      <c r="D280" s="53" t="str">
        <f t="shared" si="22"/>
        <v/>
      </c>
      <c r="E280" s="54" t="str">
        <f t="shared" si="20"/>
        <v/>
      </c>
      <c r="F280" s="53" t="str">
        <f t="shared" si="23"/>
        <v/>
      </c>
      <c r="G280" s="53" t="str">
        <f t="shared" si="24"/>
        <v/>
      </c>
    </row>
    <row r="281" spans="1:7" ht="16.5">
      <c r="A281" s="51"/>
      <c r="B281" s="52" t="str">
        <f t="shared" si="21"/>
        <v/>
      </c>
      <c r="C281" s="47" t="str">
        <f>IF(A281="","",IF(MOD(A281-1,12)=0,C280*(1+Perfil!$C$7),C280))</f>
        <v/>
      </c>
      <c r="D281" s="53" t="str">
        <f t="shared" si="22"/>
        <v/>
      </c>
      <c r="E281" s="54" t="str">
        <f t="shared" si="20"/>
        <v/>
      </c>
      <c r="F281" s="53" t="str">
        <f t="shared" si="23"/>
        <v/>
      </c>
      <c r="G281" s="53" t="str">
        <f t="shared" si="24"/>
        <v/>
      </c>
    </row>
    <row r="282" spans="1:7" ht="16.5">
      <c r="A282" s="51"/>
      <c r="B282" s="52" t="str">
        <f t="shared" si="21"/>
        <v/>
      </c>
      <c r="C282" s="47" t="str">
        <f>IF(A282="","",IF(MOD(A282-1,12)=0,C281*(1+Perfil!$C$7),C281))</f>
        <v/>
      </c>
      <c r="D282" s="53" t="str">
        <f t="shared" si="22"/>
        <v/>
      </c>
      <c r="E282" s="54" t="str">
        <f t="shared" si="20"/>
        <v/>
      </c>
      <c r="F282" s="53" t="str">
        <f t="shared" si="23"/>
        <v/>
      </c>
      <c r="G282" s="53" t="str">
        <f t="shared" si="24"/>
        <v/>
      </c>
    </row>
    <row r="283" spans="1:7" ht="16.5">
      <c r="A283" s="51"/>
      <c r="B283" s="52" t="str">
        <f t="shared" si="21"/>
        <v/>
      </c>
      <c r="C283" s="47" t="str">
        <f>IF(A283="","",IF(MOD(A283-1,12)=0,C282*(1+Perfil!$C$7),C282))</f>
        <v/>
      </c>
      <c r="D283" s="53" t="str">
        <f t="shared" si="22"/>
        <v/>
      </c>
      <c r="E283" s="54" t="str">
        <f t="shared" si="20"/>
        <v/>
      </c>
      <c r="F283" s="53" t="str">
        <f t="shared" si="23"/>
        <v/>
      </c>
      <c r="G283" s="53" t="str">
        <f t="shared" si="24"/>
        <v/>
      </c>
    </row>
    <row r="284" spans="1:7" ht="16.5">
      <c r="A284" s="51"/>
      <c r="B284" s="52" t="str">
        <f t="shared" si="21"/>
        <v/>
      </c>
      <c r="C284" s="47" t="str">
        <f>IF(A284="","",IF(MOD(A284-1,12)=0,C283*(1+Perfil!$C$7),C283))</f>
        <v/>
      </c>
      <c r="D284" s="53" t="str">
        <f t="shared" si="22"/>
        <v/>
      </c>
      <c r="E284" s="54" t="str">
        <f t="shared" si="20"/>
        <v/>
      </c>
      <c r="F284" s="53" t="str">
        <f t="shared" si="23"/>
        <v/>
      </c>
      <c r="G284" s="53" t="str">
        <f t="shared" si="24"/>
        <v/>
      </c>
    </row>
    <row r="285" spans="1:7" ht="16.5">
      <c r="A285" s="51"/>
      <c r="B285" s="52" t="str">
        <f t="shared" si="21"/>
        <v/>
      </c>
      <c r="C285" s="47" t="str">
        <f>IF(A285="","",IF(MOD(A285-1,12)=0,C284*(1+Perfil!$C$7),C284))</f>
        <v/>
      </c>
      <c r="D285" s="53" t="str">
        <f t="shared" si="22"/>
        <v/>
      </c>
      <c r="E285" s="54" t="str">
        <f t="shared" si="20"/>
        <v/>
      </c>
      <c r="F285" s="53" t="str">
        <f t="shared" si="23"/>
        <v/>
      </c>
      <c r="G285" s="53" t="str">
        <f t="shared" si="24"/>
        <v/>
      </c>
    </row>
    <row r="286" spans="1:7" ht="16.5">
      <c r="A286" s="51"/>
      <c r="B286" s="52" t="str">
        <f t="shared" si="21"/>
        <v/>
      </c>
      <c r="C286" s="47" t="str">
        <f>IF(A286="","",IF(MOD(A286-1,12)=0,C285*(1+Perfil!$C$7),C285))</f>
        <v/>
      </c>
      <c r="D286" s="53" t="str">
        <f t="shared" si="22"/>
        <v/>
      </c>
      <c r="E286" s="54" t="str">
        <f t="shared" si="20"/>
        <v/>
      </c>
      <c r="F286" s="53" t="str">
        <f t="shared" si="23"/>
        <v/>
      </c>
      <c r="G286" s="53" t="str">
        <f t="shared" si="24"/>
        <v/>
      </c>
    </row>
    <row r="287" spans="1:7" ht="16.5">
      <c r="A287" s="51"/>
      <c r="B287" s="52" t="str">
        <f t="shared" si="21"/>
        <v/>
      </c>
      <c r="C287" s="47" t="str">
        <f>IF(A287="","",IF(MOD(A287-1,12)=0,C286*(1+Perfil!$C$7),C286))</f>
        <v/>
      </c>
      <c r="D287" s="53" t="str">
        <f t="shared" si="22"/>
        <v/>
      </c>
      <c r="E287" s="54" t="str">
        <f t="shared" si="20"/>
        <v/>
      </c>
      <c r="F287" s="53" t="str">
        <f t="shared" si="23"/>
        <v/>
      </c>
      <c r="G287" s="53" t="str">
        <f t="shared" si="24"/>
        <v/>
      </c>
    </row>
    <row r="288" spans="1:7" ht="16.5">
      <c r="A288" s="51"/>
      <c r="B288" s="52" t="str">
        <f t="shared" si="21"/>
        <v/>
      </c>
      <c r="C288" s="47" t="str">
        <f>IF(A288="","",IF(MOD(A288-1,12)=0,C287*(1+Perfil!$C$7),C287))</f>
        <v/>
      </c>
      <c r="D288" s="53" t="str">
        <f t="shared" si="22"/>
        <v/>
      </c>
      <c r="E288" s="54" t="str">
        <f t="shared" si="20"/>
        <v/>
      </c>
      <c r="F288" s="53" t="str">
        <f t="shared" si="23"/>
        <v/>
      </c>
      <c r="G288" s="53" t="str">
        <f t="shared" si="24"/>
        <v/>
      </c>
    </row>
    <row r="289" spans="1:7" ht="16.5">
      <c r="A289" s="51"/>
      <c r="B289" s="52" t="str">
        <f t="shared" si="21"/>
        <v/>
      </c>
      <c r="C289" s="47" t="str">
        <f>IF(A289="","",IF(MOD(A289-1,12)=0,C288*(1+Perfil!$C$7),C288))</f>
        <v/>
      </c>
      <c r="D289" s="53" t="str">
        <f t="shared" si="22"/>
        <v/>
      </c>
      <c r="E289" s="54" t="str">
        <f t="shared" si="20"/>
        <v/>
      </c>
      <c r="F289" s="53" t="str">
        <f t="shared" si="23"/>
        <v/>
      </c>
      <c r="G289" s="53" t="str">
        <f t="shared" si="24"/>
        <v/>
      </c>
    </row>
    <row r="290" spans="1:7" ht="16.5">
      <c r="A290" s="51"/>
      <c r="B290" s="52" t="str">
        <f t="shared" si="21"/>
        <v/>
      </c>
      <c r="C290" s="47" t="str">
        <f>IF(A290="","",IF(MOD(A290-1,12)=0,C289*(1+Perfil!$C$7),C289))</f>
        <v/>
      </c>
      <c r="D290" s="53" t="str">
        <f t="shared" si="22"/>
        <v/>
      </c>
      <c r="E290" s="54" t="str">
        <f t="shared" si="20"/>
        <v/>
      </c>
      <c r="F290" s="53" t="str">
        <f t="shared" si="23"/>
        <v/>
      </c>
      <c r="G290" s="53" t="str">
        <f t="shared" si="24"/>
        <v/>
      </c>
    </row>
    <row r="291" spans="1:7" ht="16.5">
      <c r="A291" s="51"/>
      <c r="B291" s="52" t="str">
        <f t="shared" si="21"/>
        <v/>
      </c>
      <c r="C291" s="47" t="str">
        <f>IF(A291="","",IF(MOD(A291-1,12)=0,C290*(1+Perfil!$C$7),C290))</f>
        <v/>
      </c>
      <c r="D291" s="53" t="str">
        <f t="shared" si="22"/>
        <v/>
      </c>
      <c r="E291" s="54" t="str">
        <f t="shared" si="20"/>
        <v/>
      </c>
      <c r="F291" s="53" t="str">
        <f t="shared" si="23"/>
        <v/>
      </c>
      <c r="G291" s="53" t="str">
        <f t="shared" si="24"/>
        <v/>
      </c>
    </row>
    <row r="292" spans="1:7" ht="16.5">
      <c r="A292" s="51"/>
      <c r="B292" s="52" t="str">
        <f t="shared" si="21"/>
        <v/>
      </c>
      <c r="C292" s="47" t="str">
        <f>IF(A292="","",IF(MOD(A292-1,12)=0,C291*(1+Perfil!$C$7),C291))</f>
        <v/>
      </c>
      <c r="D292" s="53" t="str">
        <f t="shared" si="22"/>
        <v/>
      </c>
      <c r="E292" s="54" t="str">
        <f t="shared" si="20"/>
        <v/>
      </c>
      <c r="F292" s="53" t="str">
        <f t="shared" si="23"/>
        <v/>
      </c>
      <c r="G292" s="53" t="str">
        <f t="shared" si="24"/>
        <v/>
      </c>
    </row>
    <row r="293" spans="1:7" ht="16.5">
      <c r="A293" s="51"/>
      <c r="B293" s="52" t="str">
        <f t="shared" si="21"/>
        <v/>
      </c>
      <c r="C293" s="47" t="str">
        <f>IF(A293="","",IF(MOD(A293-1,12)=0,C292*(1+Perfil!$C$7),C292))</f>
        <v/>
      </c>
      <c r="D293" s="53" t="str">
        <f t="shared" si="22"/>
        <v/>
      </c>
      <c r="E293" s="54" t="str">
        <f t="shared" si="20"/>
        <v/>
      </c>
      <c r="F293" s="53" t="str">
        <f t="shared" si="23"/>
        <v/>
      </c>
      <c r="G293" s="53" t="str">
        <f t="shared" si="24"/>
        <v/>
      </c>
    </row>
    <row r="294" spans="1:7" ht="16.5">
      <c r="A294" s="51"/>
      <c r="B294" s="52" t="str">
        <f t="shared" si="21"/>
        <v/>
      </c>
      <c r="C294" s="47" t="str">
        <f>IF(A294="","",IF(MOD(A294-1,12)=0,C293*(1+Perfil!$C$7),C293))</f>
        <v/>
      </c>
      <c r="D294" s="53" t="str">
        <f t="shared" si="22"/>
        <v/>
      </c>
      <c r="E294" s="54" t="str">
        <f t="shared" si="20"/>
        <v/>
      </c>
      <c r="F294" s="53" t="str">
        <f t="shared" si="23"/>
        <v/>
      </c>
      <c r="G294" s="53" t="str">
        <f t="shared" si="24"/>
        <v/>
      </c>
    </row>
    <row r="295" spans="1:7" ht="16.5">
      <c r="A295" s="51"/>
      <c r="B295" s="52" t="str">
        <f t="shared" si="21"/>
        <v/>
      </c>
      <c r="C295" s="47" t="str">
        <f>IF(A295="","",IF(MOD(A295-1,12)=0,C294*(1+Perfil!$C$7),C294))</f>
        <v/>
      </c>
      <c r="D295" s="53" t="str">
        <f t="shared" si="22"/>
        <v/>
      </c>
      <c r="E295" s="54" t="str">
        <f t="shared" si="20"/>
        <v/>
      </c>
      <c r="F295" s="53" t="str">
        <f t="shared" si="23"/>
        <v/>
      </c>
      <c r="G295" s="53" t="str">
        <f t="shared" si="24"/>
        <v/>
      </c>
    </row>
    <row r="296" spans="1:7" ht="16.5">
      <c r="A296" s="51"/>
      <c r="B296" s="52" t="str">
        <f t="shared" si="21"/>
        <v/>
      </c>
      <c r="C296" s="47" t="str">
        <f>IF(A296="","",IF(MOD(A296-1,12)=0,C295*(1+Perfil!$C$7),C295))</f>
        <v/>
      </c>
      <c r="D296" s="53" t="str">
        <f t="shared" si="22"/>
        <v/>
      </c>
      <c r="E296" s="54" t="str">
        <f t="shared" si="20"/>
        <v/>
      </c>
      <c r="F296" s="53" t="str">
        <f t="shared" si="23"/>
        <v/>
      </c>
      <c r="G296" s="53" t="str">
        <f t="shared" si="24"/>
        <v/>
      </c>
    </row>
    <row r="297" spans="1:7" ht="16.5">
      <c r="A297" s="51"/>
      <c r="B297" s="52" t="str">
        <f t="shared" si="21"/>
        <v/>
      </c>
      <c r="C297" s="47" t="str">
        <f>IF(A297="","",IF(MOD(A297-1,12)=0,C296*(1+Perfil!$C$7),C296))</f>
        <v/>
      </c>
      <c r="D297" s="53" t="str">
        <f t="shared" si="22"/>
        <v/>
      </c>
      <c r="E297" s="54" t="str">
        <f t="shared" si="20"/>
        <v/>
      </c>
      <c r="F297" s="53" t="str">
        <f t="shared" si="23"/>
        <v/>
      </c>
      <c r="G297" s="53" t="str">
        <f t="shared" si="24"/>
        <v/>
      </c>
    </row>
    <row r="298" spans="1:7" ht="16.5">
      <c r="A298" s="51"/>
      <c r="B298" s="52" t="str">
        <f t="shared" si="21"/>
        <v/>
      </c>
      <c r="C298" s="47" t="str">
        <f>IF(A298="","",IF(MOD(A298-1,12)=0,C297*(1+Perfil!$C$7),C297))</f>
        <v/>
      </c>
      <c r="D298" s="53" t="str">
        <f t="shared" si="22"/>
        <v/>
      </c>
      <c r="E298" s="54" t="str">
        <f t="shared" si="20"/>
        <v/>
      </c>
      <c r="F298" s="53" t="str">
        <f t="shared" si="23"/>
        <v/>
      </c>
      <c r="G298" s="53" t="str">
        <f t="shared" si="24"/>
        <v/>
      </c>
    </row>
    <row r="299" spans="1:7" ht="16.5">
      <c r="A299" s="51"/>
      <c r="B299" s="52" t="str">
        <f t="shared" si="21"/>
        <v/>
      </c>
      <c r="C299" s="47" t="str">
        <f>IF(A299="","",IF(MOD(A299-1,12)=0,C298*(1+Perfil!$C$7),C298))</f>
        <v/>
      </c>
      <c r="D299" s="53" t="str">
        <f t="shared" si="22"/>
        <v/>
      </c>
      <c r="E299" s="54" t="str">
        <f t="shared" si="20"/>
        <v/>
      </c>
      <c r="F299" s="53" t="str">
        <f t="shared" si="23"/>
        <v/>
      </c>
      <c r="G299" s="53" t="str">
        <f t="shared" si="24"/>
        <v/>
      </c>
    </row>
    <row r="300" spans="1:7" ht="16.5">
      <c r="A300" s="51"/>
      <c r="B300" s="52" t="str">
        <f t="shared" si="21"/>
        <v/>
      </c>
      <c r="C300" s="47" t="str">
        <f>IF(A300="","",IF(MOD(A300-1,12)=0,C299*(1+Perfil!$C$7),C299))</f>
        <v/>
      </c>
      <c r="D300" s="53" t="str">
        <f t="shared" si="22"/>
        <v/>
      </c>
      <c r="E300" s="54" t="str">
        <f t="shared" si="20"/>
        <v/>
      </c>
      <c r="F300" s="53" t="str">
        <f t="shared" si="23"/>
        <v/>
      </c>
      <c r="G300" s="53" t="str">
        <f t="shared" si="24"/>
        <v/>
      </c>
    </row>
    <row r="301" spans="1:7" ht="16.5">
      <c r="A301" s="51"/>
      <c r="B301" s="52" t="str">
        <f t="shared" si="21"/>
        <v/>
      </c>
      <c r="C301" s="47" t="str">
        <f>IF(A301="","",IF(MOD(A301-1,12)=0,C300*(1+Perfil!$C$7),C300))</f>
        <v/>
      </c>
      <c r="D301" s="53" t="str">
        <f t="shared" si="22"/>
        <v/>
      </c>
      <c r="E301" s="54" t="str">
        <f t="shared" si="20"/>
        <v/>
      </c>
      <c r="F301" s="53" t="str">
        <f t="shared" si="23"/>
        <v/>
      </c>
      <c r="G301" s="53" t="str">
        <f t="shared" si="24"/>
        <v/>
      </c>
    </row>
    <row r="302" spans="1:7" ht="16.5">
      <c r="A302" s="51"/>
      <c r="B302" s="52" t="str">
        <f t="shared" si="21"/>
        <v/>
      </c>
      <c r="C302" s="47" t="str">
        <f>IF(A302="","",IF(MOD(A302-1,12)=0,C301*(1+Perfil!$C$7),C301))</f>
        <v/>
      </c>
      <c r="D302" s="53" t="str">
        <f t="shared" si="22"/>
        <v/>
      </c>
      <c r="E302" s="54" t="str">
        <f t="shared" si="20"/>
        <v/>
      </c>
      <c r="F302" s="53" t="str">
        <f t="shared" si="23"/>
        <v/>
      </c>
      <c r="G302" s="53" t="str">
        <f t="shared" si="24"/>
        <v/>
      </c>
    </row>
    <row r="303" spans="1:7" ht="16.5">
      <c r="A303" s="51"/>
      <c r="B303" s="52" t="str">
        <f t="shared" si="21"/>
        <v/>
      </c>
      <c r="C303" s="47" t="str">
        <f>IF(A303="","",IF(MOD(A303-1,12)=0,C302*(1+Perfil!$C$7),C302))</f>
        <v/>
      </c>
      <c r="D303" s="53" t="str">
        <f t="shared" si="22"/>
        <v/>
      </c>
      <c r="E303" s="54" t="str">
        <f t="shared" si="20"/>
        <v/>
      </c>
      <c r="F303" s="53" t="str">
        <f t="shared" si="23"/>
        <v/>
      </c>
      <c r="G303" s="53" t="str">
        <f t="shared" si="24"/>
        <v/>
      </c>
    </row>
    <row r="304" spans="1:7" ht="16.5">
      <c r="A304" s="51"/>
      <c r="B304" s="52" t="str">
        <f t="shared" si="21"/>
        <v/>
      </c>
      <c r="C304" s="47" t="str">
        <f>IF(A304="","",IF(MOD(A304-1,12)=0,C303*(1+Perfil!$C$7),C303))</f>
        <v/>
      </c>
      <c r="D304" s="53" t="str">
        <f t="shared" si="22"/>
        <v/>
      </c>
      <c r="E304" s="54" t="str">
        <f t="shared" si="20"/>
        <v/>
      </c>
      <c r="F304" s="53" t="str">
        <f t="shared" si="23"/>
        <v/>
      </c>
      <c r="G304" s="53" t="str">
        <f t="shared" si="24"/>
        <v/>
      </c>
    </row>
    <row r="305" spans="1:7" ht="16.5">
      <c r="A305" s="51"/>
      <c r="B305" s="52" t="str">
        <f t="shared" si="21"/>
        <v/>
      </c>
      <c r="C305" s="47" t="str">
        <f>IF(A305="","",IF(MOD(A305-1,12)=0,C304*(1+Perfil!$C$7),C304))</f>
        <v/>
      </c>
      <c r="D305" s="53" t="str">
        <f t="shared" si="22"/>
        <v/>
      </c>
      <c r="E305" s="54" t="str">
        <f t="shared" si="20"/>
        <v/>
      </c>
      <c r="F305" s="53" t="str">
        <f t="shared" si="23"/>
        <v/>
      </c>
      <c r="G305" s="53" t="str">
        <f t="shared" si="24"/>
        <v/>
      </c>
    </row>
    <row r="306" spans="1:7" ht="16.5">
      <c r="A306" s="51"/>
      <c r="B306" s="52" t="str">
        <f t="shared" si="21"/>
        <v/>
      </c>
      <c r="C306" s="47" t="str">
        <f>IF(A306="","",IF(MOD(A306-1,12)=0,C305*(1+Perfil!$C$7),C305))</f>
        <v/>
      </c>
      <c r="D306" s="53" t="str">
        <f t="shared" si="22"/>
        <v/>
      </c>
      <c r="E306" s="54" t="str">
        <f t="shared" si="20"/>
        <v/>
      </c>
      <c r="F306" s="53" t="str">
        <f t="shared" si="23"/>
        <v/>
      </c>
      <c r="G306" s="53" t="str">
        <f t="shared" si="24"/>
        <v/>
      </c>
    </row>
    <row r="307" spans="1:7" ht="16.5">
      <c r="A307" s="51"/>
      <c r="B307" s="52" t="str">
        <f t="shared" si="21"/>
        <v/>
      </c>
      <c r="C307" s="47" t="str">
        <f>IF(A307="","",IF(MOD(A307-1,12)=0,C306*(1+Perfil!$C$7),C306))</f>
        <v/>
      </c>
      <c r="D307" s="53" t="str">
        <f t="shared" si="22"/>
        <v/>
      </c>
      <c r="E307" s="54" t="str">
        <f t="shared" si="20"/>
        <v/>
      </c>
      <c r="F307" s="53" t="str">
        <f t="shared" si="23"/>
        <v/>
      </c>
      <c r="G307" s="53" t="str">
        <f t="shared" si="24"/>
        <v/>
      </c>
    </row>
    <row r="308" spans="1:7" ht="16.5">
      <c r="A308" s="51"/>
      <c r="B308" s="52" t="str">
        <f t="shared" si="21"/>
        <v/>
      </c>
      <c r="C308" s="47" t="str">
        <f>IF(A308="","",IF(MOD(A308-1,12)=0,C307*(1+Perfil!$C$7),C307))</f>
        <v/>
      </c>
      <c r="D308" s="53" t="str">
        <f t="shared" si="22"/>
        <v/>
      </c>
      <c r="E308" s="54" t="str">
        <f t="shared" si="20"/>
        <v/>
      </c>
      <c r="F308" s="53" t="str">
        <f t="shared" si="23"/>
        <v/>
      </c>
      <c r="G308" s="53" t="str">
        <f t="shared" si="24"/>
        <v/>
      </c>
    </row>
    <row r="309" spans="1:7" ht="16.5">
      <c r="A309" s="51"/>
      <c r="B309" s="52" t="str">
        <f t="shared" si="21"/>
        <v/>
      </c>
      <c r="C309" s="47" t="str">
        <f>IF(A309="","",IF(MOD(A309-1,12)=0,C308*(1+Perfil!$C$7),C308))</f>
        <v/>
      </c>
      <c r="D309" s="53" t="str">
        <f t="shared" si="22"/>
        <v/>
      </c>
      <c r="E309" s="54" t="str">
        <f t="shared" si="20"/>
        <v/>
      </c>
      <c r="F309" s="53" t="str">
        <f t="shared" si="23"/>
        <v/>
      </c>
      <c r="G309" s="53" t="str">
        <f t="shared" si="24"/>
        <v/>
      </c>
    </row>
    <row r="310" spans="1:7" ht="16.5">
      <c r="A310" s="51"/>
      <c r="B310" s="52" t="str">
        <f t="shared" si="21"/>
        <v/>
      </c>
      <c r="C310" s="47" t="str">
        <f>IF(A310="","",IF(MOD(A310-1,12)=0,C309*(1+Perfil!$C$7),C309))</f>
        <v/>
      </c>
      <c r="D310" s="53" t="str">
        <f t="shared" si="22"/>
        <v/>
      </c>
      <c r="E310" s="54" t="str">
        <f t="shared" si="20"/>
        <v/>
      </c>
      <c r="F310" s="53" t="str">
        <f t="shared" si="23"/>
        <v/>
      </c>
      <c r="G310" s="53" t="str">
        <f t="shared" si="24"/>
        <v/>
      </c>
    </row>
    <row r="311" spans="1:7" ht="16.5">
      <c r="A311" s="51"/>
      <c r="B311" s="52" t="str">
        <f t="shared" si="21"/>
        <v/>
      </c>
      <c r="C311" s="47" t="str">
        <f>IF(A311="","",IF(MOD(A311-1,12)=0,C310*(1+Perfil!$C$7),C310))</f>
        <v/>
      </c>
      <c r="D311" s="53" t="str">
        <f t="shared" si="22"/>
        <v/>
      </c>
      <c r="E311" s="54" t="str">
        <f t="shared" si="20"/>
        <v/>
      </c>
      <c r="F311" s="53" t="str">
        <f t="shared" si="23"/>
        <v/>
      </c>
      <c r="G311" s="53" t="str">
        <f t="shared" si="24"/>
        <v/>
      </c>
    </row>
    <row r="312" spans="1:7" ht="16.5">
      <c r="A312" s="51"/>
      <c r="B312" s="52" t="str">
        <f t="shared" si="21"/>
        <v/>
      </c>
      <c r="C312" s="47" t="str">
        <f>IF(A312="","",IF(MOD(A312-1,12)=0,C311*(1+Perfil!$C$7),C311))</f>
        <v/>
      </c>
      <c r="D312" s="53" t="str">
        <f t="shared" si="22"/>
        <v/>
      </c>
      <c r="E312" s="54" t="str">
        <f t="shared" si="20"/>
        <v/>
      </c>
      <c r="F312" s="53" t="str">
        <f t="shared" si="23"/>
        <v/>
      </c>
      <c r="G312" s="53" t="str">
        <f t="shared" si="24"/>
        <v/>
      </c>
    </row>
    <row r="313" spans="1:7" ht="16.5">
      <c r="A313" s="51"/>
      <c r="B313" s="52" t="str">
        <f t="shared" si="21"/>
        <v/>
      </c>
      <c r="C313" s="47" t="str">
        <f>IF(A313="","",IF(MOD(A313-1,12)=0,C312*(1+Perfil!$C$7),C312))</f>
        <v/>
      </c>
      <c r="D313" s="53" t="str">
        <f t="shared" si="22"/>
        <v/>
      </c>
      <c r="E313" s="54" t="str">
        <f t="shared" si="20"/>
        <v/>
      </c>
      <c r="F313" s="53" t="str">
        <f t="shared" si="23"/>
        <v/>
      </c>
      <c r="G313" s="53" t="str">
        <f t="shared" si="24"/>
        <v/>
      </c>
    </row>
    <row r="314" spans="1:7" ht="16.5">
      <c r="A314" s="51"/>
      <c r="B314" s="52" t="str">
        <f t="shared" si="21"/>
        <v/>
      </c>
      <c r="C314" s="47" t="str">
        <f>IF(A314="","",IF(MOD(A314-1,12)=0,C313*(1+Perfil!$C$7),C313))</f>
        <v/>
      </c>
      <c r="D314" s="53" t="str">
        <f t="shared" si="22"/>
        <v/>
      </c>
      <c r="E314" s="54" t="str">
        <f t="shared" si="20"/>
        <v/>
      </c>
      <c r="F314" s="53" t="str">
        <f t="shared" si="23"/>
        <v/>
      </c>
      <c r="G314" s="53" t="str">
        <f t="shared" si="24"/>
        <v/>
      </c>
    </row>
    <row r="315" spans="1:7" ht="16.5">
      <c r="A315" s="51"/>
      <c r="B315" s="52" t="str">
        <f t="shared" si="21"/>
        <v/>
      </c>
      <c r="C315" s="47" t="str">
        <f>IF(A315="","",IF(MOD(A315-1,12)=0,C314*(1+Perfil!$C$7),C314))</f>
        <v/>
      </c>
      <c r="D315" s="53" t="str">
        <f t="shared" si="22"/>
        <v/>
      </c>
      <c r="E315" s="54" t="str">
        <f t="shared" si="20"/>
        <v/>
      </c>
      <c r="F315" s="53" t="str">
        <f t="shared" si="23"/>
        <v/>
      </c>
      <c r="G315" s="53" t="str">
        <f t="shared" si="24"/>
        <v/>
      </c>
    </row>
    <row r="316" spans="1:7" ht="16.5">
      <c r="A316" s="51"/>
      <c r="B316" s="52" t="str">
        <f t="shared" si="21"/>
        <v/>
      </c>
      <c r="C316" s="47" t="str">
        <f>IF(A316="","",IF(MOD(A316-1,12)=0,C315*(1+Perfil!$C$7),C315))</f>
        <v/>
      </c>
      <c r="D316" s="53" t="str">
        <f t="shared" si="22"/>
        <v/>
      </c>
      <c r="E316" s="54" t="str">
        <f t="shared" si="20"/>
        <v/>
      </c>
      <c r="F316" s="53" t="str">
        <f t="shared" si="23"/>
        <v/>
      </c>
      <c r="G316" s="53" t="str">
        <f t="shared" si="24"/>
        <v/>
      </c>
    </row>
    <row r="317" spans="1:7" ht="16.5">
      <c r="A317" s="51"/>
      <c r="B317" s="52" t="str">
        <f t="shared" si="21"/>
        <v/>
      </c>
      <c r="C317" s="47" t="str">
        <f>IF(A317="","",IF(MOD(A317-1,12)=0,C316*(1+Perfil!$C$7),C316))</f>
        <v/>
      </c>
      <c r="D317" s="53" t="str">
        <f t="shared" si="22"/>
        <v/>
      </c>
      <c r="E317" s="54" t="str">
        <f t="shared" si="20"/>
        <v/>
      </c>
      <c r="F317" s="53" t="str">
        <f t="shared" si="23"/>
        <v/>
      </c>
      <c r="G317" s="53" t="str">
        <f t="shared" si="24"/>
        <v/>
      </c>
    </row>
    <row r="318" spans="1:7" ht="16.5">
      <c r="A318" s="51"/>
      <c r="B318" s="52" t="str">
        <f t="shared" si="21"/>
        <v/>
      </c>
      <c r="C318" s="47" t="str">
        <f>IF(A318="","",IF(MOD(A318-1,12)=0,C317*(1+Perfil!$C$7),C317))</f>
        <v/>
      </c>
      <c r="D318" s="53" t="str">
        <f t="shared" si="22"/>
        <v/>
      </c>
      <c r="E318" s="54" t="str">
        <f t="shared" si="20"/>
        <v/>
      </c>
      <c r="F318" s="53" t="str">
        <f t="shared" si="23"/>
        <v/>
      </c>
      <c r="G318" s="53" t="str">
        <f t="shared" si="24"/>
        <v/>
      </c>
    </row>
    <row r="319" spans="1:7" ht="16.5">
      <c r="A319" s="51"/>
      <c r="B319" s="52" t="str">
        <f t="shared" si="21"/>
        <v/>
      </c>
      <c r="C319" s="47" t="str">
        <f>IF(A319="","",IF(MOD(A319-1,12)=0,C318*(1+Perfil!$C$7),C318))</f>
        <v/>
      </c>
      <c r="D319" s="53" t="str">
        <f t="shared" si="22"/>
        <v/>
      </c>
      <c r="E319" s="54" t="str">
        <f t="shared" si="20"/>
        <v/>
      </c>
      <c r="F319" s="53" t="str">
        <f t="shared" si="23"/>
        <v/>
      </c>
      <c r="G319" s="53" t="str">
        <f t="shared" si="24"/>
        <v/>
      </c>
    </row>
    <row r="320" spans="1:7" ht="16.5">
      <c r="A320" s="51"/>
      <c r="B320" s="52" t="str">
        <f t="shared" si="21"/>
        <v/>
      </c>
      <c r="C320" s="47" t="str">
        <f>IF(A320="","",IF(MOD(A320-1,12)=0,C319*(1+Perfil!$C$7),C319))</f>
        <v/>
      </c>
      <c r="D320" s="53" t="str">
        <f t="shared" si="22"/>
        <v/>
      </c>
      <c r="E320" s="54" t="str">
        <f t="shared" si="20"/>
        <v/>
      </c>
      <c r="F320" s="53" t="str">
        <f t="shared" si="23"/>
        <v/>
      </c>
      <c r="G320" s="53" t="str">
        <f t="shared" si="24"/>
        <v/>
      </c>
    </row>
    <row r="321" spans="1:7" ht="16.5">
      <c r="A321" s="51"/>
      <c r="B321" s="52" t="str">
        <f t="shared" si="21"/>
        <v/>
      </c>
      <c r="C321" s="47" t="str">
        <f>IF(A321="","",IF(MOD(A321-1,12)=0,C320*(1+Perfil!$C$7),C320))</f>
        <v/>
      </c>
      <c r="D321" s="53" t="str">
        <f t="shared" si="22"/>
        <v/>
      </c>
      <c r="E321" s="54" t="str">
        <f t="shared" si="20"/>
        <v/>
      </c>
      <c r="F321" s="53" t="str">
        <f t="shared" si="23"/>
        <v/>
      </c>
      <c r="G321" s="53" t="str">
        <f t="shared" si="24"/>
        <v/>
      </c>
    </row>
    <row r="322" spans="1:7" ht="16.5">
      <c r="A322" s="51"/>
      <c r="B322" s="52" t="str">
        <f t="shared" si="21"/>
        <v/>
      </c>
      <c r="C322" s="47" t="str">
        <f>IF(A322="","",IF(MOD(A322-1,12)=0,C321*(1+Perfil!$C$7),C321))</f>
        <v/>
      </c>
      <c r="D322" s="53" t="str">
        <f t="shared" si="22"/>
        <v/>
      </c>
      <c r="E322" s="54" t="str">
        <f t="shared" si="20"/>
        <v/>
      </c>
      <c r="F322" s="53" t="str">
        <f t="shared" si="23"/>
        <v/>
      </c>
      <c r="G322" s="53" t="str">
        <f t="shared" si="24"/>
        <v/>
      </c>
    </row>
    <row r="323" spans="1:7" ht="16.5">
      <c r="A323" s="51"/>
      <c r="B323" s="52" t="str">
        <f t="shared" si="21"/>
        <v/>
      </c>
      <c r="C323" s="47" t="str">
        <f>IF(A323="","",IF(MOD(A323-1,12)=0,C322*(1+Perfil!$C$7),C322))</f>
        <v/>
      </c>
      <c r="D323" s="53" t="str">
        <f t="shared" si="22"/>
        <v/>
      </c>
      <c r="E323" s="54" t="str">
        <f t="shared" si="20"/>
        <v/>
      </c>
      <c r="F323" s="53" t="str">
        <f t="shared" si="23"/>
        <v/>
      </c>
      <c r="G323" s="53" t="str">
        <f t="shared" si="24"/>
        <v/>
      </c>
    </row>
    <row r="324" spans="1:7" ht="16.5">
      <c r="A324" s="51"/>
      <c r="B324" s="52" t="str">
        <f t="shared" si="21"/>
        <v/>
      </c>
      <c r="C324" s="47" t="str">
        <f>IF(A324="","",IF(MOD(A324-1,12)=0,C323*(1+Perfil!$C$7),C323))</f>
        <v/>
      </c>
      <c r="D324" s="53" t="str">
        <f t="shared" si="22"/>
        <v/>
      </c>
      <c r="E324" s="54" t="str">
        <f t="shared" si="20"/>
        <v/>
      </c>
      <c r="F324" s="53" t="str">
        <f t="shared" si="23"/>
        <v/>
      </c>
      <c r="G324" s="53" t="str">
        <f t="shared" si="24"/>
        <v/>
      </c>
    </row>
    <row r="325" spans="1:7" ht="16.5">
      <c r="A325" s="51"/>
      <c r="B325" s="52" t="str">
        <f t="shared" si="21"/>
        <v/>
      </c>
      <c r="C325" s="47" t="str">
        <f>IF(A325="","",IF(MOD(A325-1,12)=0,C324*(1+Perfil!$C$7),C324))</f>
        <v/>
      </c>
      <c r="D325" s="53" t="str">
        <f t="shared" si="22"/>
        <v/>
      </c>
      <c r="E325" s="54" t="str">
        <f t="shared" si="20"/>
        <v/>
      </c>
      <c r="F325" s="53" t="str">
        <f t="shared" si="23"/>
        <v/>
      </c>
      <c r="G325" s="53" t="str">
        <f t="shared" si="24"/>
        <v/>
      </c>
    </row>
    <row r="326" spans="1:7" ht="16.5">
      <c r="A326" s="51"/>
      <c r="B326" s="52" t="str">
        <f t="shared" si="21"/>
        <v/>
      </c>
      <c r="C326" s="47" t="str">
        <f>IF(A326="","",IF(MOD(A326-1,12)=0,C325*(1+Perfil!$C$7),C325))</f>
        <v/>
      </c>
      <c r="D326" s="53" t="str">
        <f t="shared" si="22"/>
        <v/>
      </c>
      <c r="E326" s="54" t="str">
        <f t="shared" si="20"/>
        <v/>
      </c>
      <c r="F326" s="53" t="str">
        <f t="shared" si="23"/>
        <v/>
      </c>
      <c r="G326" s="53" t="str">
        <f t="shared" si="24"/>
        <v/>
      </c>
    </row>
    <row r="327" spans="1:7" ht="16.5">
      <c r="A327" s="51"/>
      <c r="B327" s="52" t="str">
        <f t="shared" si="21"/>
        <v/>
      </c>
      <c r="C327" s="47" t="str">
        <f>IF(A327="","",IF(MOD(A327-1,12)=0,C326*(1+Perfil!$C$7),C326))</f>
        <v/>
      </c>
      <c r="D327" s="53" t="str">
        <f t="shared" si="22"/>
        <v/>
      </c>
      <c r="E327" s="54" t="str">
        <f t="shared" si="20"/>
        <v/>
      </c>
      <c r="F327" s="53" t="str">
        <f t="shared" si="23"/>
        <v/>
      </c>
      <c r="G327" s="53" t="str">
        <f t="shared" si="24"/>
        <v/>
      </c>
    </row>
    <row r="328" spans="1:7" ht="16.5">
      <c r="A328" s="51"/>
      <c r="B328" s="52" t="str">
        <f t="shared" si="21"/>
        <v/>
      </c>
      <c r="C328" s="47" t="str">
        <f>IF(A328="","",IF(MOD(A328-1,12)=0,C327*(1+Perfil!$C$7),C327))</f>
        <v/>
      </c>
      <c r="D328" s="53" t="str">
        <f t="shared" si="22"/>
        <v/>
      </c>
      <c r="E328" s="54" t="str">
        <f t="shared" si="20"/>
        <v/>
      </c>
      <c r="F328" s="53" t="str">
        <f t="shared" si="23"/>
        <v/>
      </c>
      <c r="G328" s="53" t="str">
        <f t="shared" si="24"/>
        <v/>
      </c>
    </row>
    <row r="329" spans="1:7" ht="16.5">
      <c r="A329" s="51"/>
      <c r="B329" s="52" t="str">
        <f t="shared" si="21"/>
        <v/>
      </c>
      <c r="C329" s="47" t="str">
        <f>IF(A329="","",IF(MOD(A329-1,12)=0,C328*(1+Perfil!$C$7),C328))</f>
        <v/>
      </c>
      <c r="D329" s="53" t="str">
        <f t="shared" si="22"/>
        <v/>
      </c>
      <c r="E329" s="54" t="str">
        <f t="shared" si="20"/>
        <v/>
      </c>
      <c r="F329" s="53" t="str">
        <f t="shared" si="23"/>
        <v/>
      </c>
      <c r="G329" s="53" t="str">
        <f t="shared" si="24"/>
        <v/>
      </c>
    </row>
    <row r="330" spans="1:7" ht="16.5">
      <c r="A330" s="51"/>
      <c r="B330" s="52" t="str">
        <f t="shared" si="21"/>
        <v/>
      </c>
      <c r="C330" s="47" t="str">
        <f>IF(A330="","",IF(MOD(A330-1,12)=0,C329*(1+Perfil!$C$7),C329))</f>
        <v/>
      </c>
      <c r="D330" s="53" t="str">
        <f t="shared" si="22"/>
        <v/>
      </c>
      <c r="E330" s="54" t="str">
        <f t="shared" si="20"/>
        <v/>
      </c>
      <c r="F330" s="53" t="str">
        <f t="shared" si="23"/>
        <v/>
      </c>
      <c r="G330" s="53" t="str">
        <f t="shared" si="24"/>
        <v/>
      </c>
    </row>
    <row r="331" spans="1:7" ht="16.5">
      <c r="A331" s="51"/>
      <c r="B331" s="52" t="str">
        <f t="shared" si="21"/>
        <v/>
      </c>
      <c r="C331" s="47" t="str">
        <f>IF(A331="","",IF(MOD(A331-1,12)=0,C330*(1+Perfil!$C$7),C330))</f>
        <v/>
      </c>
      <c r="D331" s="53" t="str">
        <f t="shared" si="22"/>
        <v/>
      </c>
      <c r="E331" s="54" t="str">
        <f t="shared" si="20"/>
        <v/>
      </c>
      <c r="F331" s="53" t="str">
        <f t="shared" si="23"/>
        <v/>
      </c>
      <c r="G331" s="53" t="str">
        <f t="shared" si="24"/>
        <v/>
      </c>
    </row>
    <row r="332" spans="1:7" ht="16.5">
      <c r="A332" s="51"/>
      <c r="B332" s="52" t="str">
        <f t="shared" si="21"/>
        <v/>
      </c>
      <c r="C332" s="47" t="str">
        <f>IF(A332="","",IF(MOD(A332-1,12)=0,C331*(1+Perfil!$C$7),C331))</f>
        <v/>
      </c>
      <c r="D332" s="53" t="str">
        <f t="shared" si="22"/>
        <v/>
      </c>
      <c r="E332" s="54" t="str">
        <f t="shared" si="20"/>
        <v/>
      </c>
      <c r="F332" s="53" t="str">
        <f t="shared" si="23"/>
        <v/>
      </c>
      <c r="G332" s="53" t="str">
        <f t="shared" si="24"/>
        <v/>
      </c>
    </row>
    <row r="333" spans="1:7" ht="16.5">
      <c r="A333" s="51"/>
      <c r="B333" s="52" t="str">
        <f t="shared" si="21"/>
        <v/>
      </c>
      <c r="C333" s="47" t="str">
        <f>IF(A333="","",IF(MOD(A333-1,12)=0,C332*(1+Perfil!$C$7),C332))</f>
        <v/>
      </c>
      <c r="D333" s="53" t="str">
        <f t="shared" si="22"/>
        <v/>
      </c>
      <c r="E333" s="54" t="str">
        <f t="shared" si="20"/>
        <v/>
      </c>
      <c r="F333" s="53" t="str">
        <f t="shared" si="23"/>
        <v/>
      </c>
      <c r="G333" s="53" t="str">
        <f t="shared" si="24"/>
        <v/>
      </c>
    </row>
    <row r="334" spans="1:7" ht="16.5">
      <c r="A334" s="51"/>
      <c r="B334" s="52" t="str">
        <f t="shared" si="21"/>
        <v/>
      </c>
      <c r="C334" s="47" t="str">
        <f>IF(A334="","",IF(MOD(A334-1,12)=0,C333*(1+Perfil!$C$7),C333))</f>
        <v/>
      </c>
      <c r="D334" s="53" t="str">
        <f t="shared" si="22"/>
        <v/>
      </c>
      <c r="E334" s="54" t="str">
        <f t="shared" si="20"/>
        <v/>
      </c>
      <c r="F334" s="53" t="str">
        <f t="shared" si="23"/>
        <v/>
      </c>
      <c r="G334" s="53" t="str">
        <f t="shared" si="24"/>
        <v/>
      </c>
    </row>
    <row r="335" spans="1:7" ht="16.5">
      <c r="A335" s="51"/>
      <c r="B335" s="52" t="str">
        <f t="shared" si="21"/>
        <v/>
      </c>
      <c r="C335" s="47" t="str">
        <f>IF(A335="","",IF(MOD(A335-1,12)=0,C334*(1+Perfil!$C$7),C334))</f>
        <v/>
      </c>
      <c r="D335" s="53" t="str">
        <f t="shared" si="22"/>
        <v/>
      </c>
      <c r="E335" s="54" t="str">
        <f t="shared" si="20"/>
        <v/>
      </c>
      <c r="F335" s="53" t="str">
        <f t="shared" si="23"/>
        <v/>
      </c>
      <c r="G335" s="53" t="str">
        <f t="shared" si="24"/>
        <v/>
      </c>
    </row>
    <row r="336" spans="1:7" ht="16.5">
      <c r="A336" s="51"/>
      <c r="B336" s="52" t="str">
        <f t="shared" si="21"/>
        <v/>
      </c>
      <c r="C336" s="47" t="str">
        <f>IF(A336="","",IF(MOD(A336-1,12)=0,C335*(1+Perfil!$C$7),C335))</f>
        <v/>
      </c>
      <c r="D336" s="53" t="str">
        <f t="shared" si="22"/>
        <v/>
      </c>
      <c r="E336" s="54" t="str">
        <f t="shared" si="20"/>
        <v/>
      </c>
      <c r="F336" s="53" t="str">
        <f t="shared" si="23"/>
        <v/>
      </c>
      <c r="G336" s="53" t="str">
        <f t="shared" si="24"/>
        <v/>
      </c>
    </row>
    <row r="337" spans="1:7" ht="16.5">
      <c r="A337" s="51"/>
      <c r="B337" s="52" t="str">
        <f t="shared" si="21"/>
        <v/>
      </c>
      <c r="C337" s="47" t="str">
        <f>IF(A337="","",IF(MOD(A337-1,12)=0,C336*(1+Perfil!$C$7),C336))</f>
        <v/>
      </c>
      <c r="D337" s="53" t="str">
        <f t="shared" si="22"/>
        <v/>
      </c>
      <c r="E337" s="54" t="str">
        <f t="shared" si="20"/>
        <v/>
      </c>
      <c r="F337" s="53" t="str">
        <f t="shared" si="23"/>
        <v/>
      </c>
      <c r="G337" s="53" t="str">
        <f t="shared" si="24"/>
        <v/>
      </c>
    </row>
    <row r="338" spans="1:7" ht="16.5">
      <c r="A338" s="51"/>
      <c r="B338" s="52" t="str">
        <f t="shared" si="21"/>
        <v/>
      </c>
      <c r="C338" s="47" t="str">
        <f>IF(A338="","",IF(MOD(A338-1,12)=0,C337*(1+Perfil!$C$7),C337))</f>
        <v/>
      </c>
      <c r="D338" s="53" t="str">
        <f t="shared" si="22"/>
        <v/>
      </c>
      <c r="E338" s="54" t="str">
        <f t="shared" si="20"/>
        <v/>
      </c>
      <c r="F338" s="53" t="str">
        <f t="shared" si="23"/>
        <v/>
      </c>
      <c r="G338" s="53" t="str">
        <f t="shared" si="24"/>
        <v/>
      </c>
    </row>
    <row r="339" spans="1:7" ht="16.5">
      <c r="A339" s="51"/>
      <c r="B339" s="52" t="str">
        <f t="shared" si="21"/>
        <v/>
      </c>
      <c r="C339" s="47" t="str">
        <f>IF(A339="","",IF(MOD(A339-1,12)=0,C338*(1+Perfil!$C$7),C338))</f>
        <v/>
      </c>
      <c r="D339" s="53" t="str">
        <f t="shared" si="22"/>
        <v/>
      </c>
      <c r="E339" s="54" t="str">
        <f t="shared" si="20"/>
        <v/>
      </c>
      <c r="F339" s="53" t="str">
        <f t="shared" si="23"/>
        <v/>
      </c>
      <c r="G339" s="53" t="str">
        <f t="shared" si="24"/>
        <v/>
      </c>
    </row>
    <row r="340" spans="1:7" ht="16.5">
      <c r="A340" s="51"/>
      <c r="B340" s="52" t="str">
        <f t="shared" si="21"/>
        <v/>
      </c>
      <c r="C340" s="47" t="str">
        <f>IF(A340="","",IF(MOD(A340-1,12)=0,C339*(1+Perfil!$C$7),C339))</f>
        <v/>
      </c>
      <c r="D340" s="53" t="str">
        <f t="shared" si="22"/>
        <v/>
      </c>
      <c r="E340" s="54" t="str">
        <f t="shared" si="20"/>
        <v/>
      </c>
      <c r="F340" s="53" t="str">
        <f t="shared" si="23"/>
        <v/>
      </c>
      <c r="G340" s="53" t="str">
        <f t="shared" si="24"/>
        <v/>
      </c>
    </row>
    <row r="341" spans="1:7" ht="16.5">
      <c r="A341" s="51"/>
      <c r="B341" s="52" t="str">
        <f t="shared" si="21"/>
        <v/>
      </c>
      <c r="C341" s="47" t="str">
        <f>IF(A341="","",IF(MOD(A341-1,12)=0,C340*(1+Perfil!$C$7),C340))</f>
        <v/>
      </c>
      <c r="D341" s="53" t="str">
        <f t="shared" si="22"/>
        <v/>
      </c>
      <c r="E341" s="54" t="str">
        <f t="shared" ref="E341:E404" si="25">IF(A341="","",$C$10)</f>
        <v/>
      </c>
      <c r="F341" s="53" t="str">
        <f t="shared" si="23"/>
        <v/>
      </c>
      <c r="G341" s="53" t="str">
        <f t="shared" si="24"/>
        <v/>
      </c>
    </row>
    <row r="342" spans="1:7" ht="16.5">
      <c r="A342" s="51"/>
      <c r="B342" s="52" t="str">
        <f t="shared" ref="B342:B379" si="26">IF(A342="","",G341)</f>
        <v/>
      </c>
      <c r="C342" s="47" t="str">
        <f>IF(A342="","",IF(MOD(A342-1,12)=0,C341*(1+Perfil!$C$7),C341))</f>
        <v/>
      </c>
      <c r="D342" s="53" t="str">
        <f t="shared" ref="D342:D405" si="27">IF(A342="","",B342+C342)</f>
        <v/>
      </c>
      <c r="E342" s="54" t="str">
        <f t="shared" si="25"/>
        <v/>
      </c>
      <c r="F342" s="53" t="str">
        <f t="shared" ref="F342:F405" si="28">IF(A342="","",D342*E342)</f>
        <v/>
      </c>
      <c r="G342" s="53" t="str">
        <f t="shared" ref="G342:G405" si="29">IF(A342="","",D342+F342)</f>
        <v/>
      </c>
    </row>
    <row r="343" spans="1:7" ht="16.5">
      <c r="A343" s="51"/>
      <c r="B343" s="52" t="str">
        <f t="shared" si="26"/>
        <v/>
      </c>
      <c r="C343" s="47" t="str">
        <f>IF(A343="","",IF(MOD(A343-1,12)=0,C342*(1+Perfil!$C$7),C342))</f>
        <v/>
      </c>
      <c r="D343" s="53" t="str">
        <f t="shared" si="27"/>
        <v/>
      </c>
      <c r="E343" s="54" t="str">
        <f t="shared" si="25"/>
        <v/>
      </c>
      <c r="F343" s="53" t="str">
        <f t="shared" si="28"/>
        <v/>
      </c>
      <c r="G343" s="53" t="str">
        <f t="shared" si="29"/>
        <v/>
      </c>
    </row>
    <row r="344" spans="1:7" ht="16.5">
      <c r="A344" s="51"/>
      <c r="B344" s="52" t="str">
        <f t="shared" si="26"/>
        <v/>
      </c>
      <c r="C344" s="47" t="str">
        <f>IF(A344="","",IF(MOD(A344-1,12)=0,C343*(1+Perfil!$C$7),C343))</f>
        <v/>
      </c>
      <c r="D344" s="53" t="str">
        <f t="shared" si="27"/>
        <v/>
      </c>
      <c r="E344" s="54" t="str">
        <f t="shared" si="25"/>
        <v/>
      </c>
      <c r="F344" s="53" t="str">
        <f t="shared" si="28"/>
        <v/>
      </c>
      <c r="G344" s="53" t="str">
        <f t="shared" si="29"/>
        <v/>
      </c>
    </row>
    <row r="345" spans="1:7" ht="16.5">
      <c r="A345" s="51"/>
      <c r="B345" s="52" t="str">
        <f t="shared" si="26"/>
        <v/>
      </c>
      <c r="C345" s="47" t="str">
        <f>IF(A345="","",IF(MOD(A345-1,12)=0,C344*(1+Perfil!$C$7),C344))</f>
        <v/>
      </c>
      <c r="D345" s="53" t="str">
        <f t="shared" si="27"/>
        <v/>
      </c>
      <c r="E345" s="54" t="str">
        <f t="shared" si="25"/>
        <v/>
      </c>
      <c r="F345" s="53" t="str">
        <f t="shared" si="28"/>
        <v/>
      </c>
      <c r="G345" s="53" t="str">
        <f t="shared" si="29"/>
        <v/>
      </c>
    </row>
    <row r="346" spans="1:7" ht="16.5">
      <c r="A346" s="51"/>
      <c r="B346" s="52" t="str">
        <f t="shared" si="26"/>
        <v/>
      </c>
      <c r="C346" s="47" t="str">
        <f>IF(A346="","",IF(MOD(A346-1,12)=0,C345*(1+Perfil!$C$7),C345))</f>
        <v/>
      </c>
      <c r="D346" s="53" t="str">
        <f t="shared" si="27"/>
        <v/>
      </c>
      <c r="E346" s="54" t="str">
        <f t="shared" si="25"/>
        <v/>
      </c>
      <c r="F346" s="53" t="str">
        <f t="shared" si="28"/>
        <v/>
      </c>
      <c r="G346" s="53" t="str">
        <f t="shared" si="29"/>
        <v/>
      </c>
    </row>
    <row r="347" spans="1:7" ht="16.5">
      <c r="A347" s="51"/>
      <c r="B347" s="52" t="str">
        <f t="shared" si="26"/>
        <v/>
      </c>
      <c r="C347" s="47" t="str">
        <f>IF(A347="","",IF(MOD(A347-1,12)=0,C346*(1+Perfil!$C$7),C346))</f>
        <v/>
      </c>
      <c r="D347" s="53" t="str">
        <f t="shared" si="27"/>
        <v/>
      </c>
      <c r="E347" s="54" t="str">
        <f t="shared" si="25"/>
        <v/>
      </c>
      <c r="F347" s="53" t="str">
        <f t="shared" si="28"/>
        <v/>
      </c>
      <c r="G347" s="53" t="str">
        <f t="shared" si="29"/>
        <v/>
      </c>
    </row>
    <row r="348" spans="1:7" ht="16.5">
      <c r="A348" s="51"/>
      <c r="B348" s="52" t="str">
        <f t="shared" si="26"/>
        <v/>
      </c>
      <c r="C348" s="47" t="str">
        <f>IF(A348="","",IF(MOD(A348-1,12)=0,C347*(1+Perfil!$C$7),C347))</f>
        <v/>
      </c>
      <c r="D348" s="53" t="str">
        <f t="shared" si="27"/>
        <v/>
      </c>
      <c r="E348" s="54" t="str">
        <f t="shared" si="25"/>
        <v/>
      </c>
      <c r="F348" s="53" t="str">
        <f t="shared" si="28"/>
        <v/>
      </c>
      <c r="G348" s="53" t="str">
        <f t="shared" si="29"/>
        <v/>
      </c>
    </row>
    <row r="349" spans="1:7" ht="16.5">
      <c r="A349" s="51"/>
      <c r="B349" s="52" t="str">
        <f t="shared" si="26"/>
        <v/>
      </c>
      <c r="C349" s="47" t="str">
        <f>IF(A349="","",IF(MOD(A349-1,12)=0,C348*(1+Perfil!$C$7),C348))</f>
        <v/>
      </c>
      <c r="D349" s="53" t="str">
        <f t="shared" si="27"/>
        <v/>
      </c>
      <c r="E349" s="54" t="str">
        <f t="shared" si="25"/>
        <v/>
      </c>
      <c r="F349" s="53" t="str">
        <f t="shared" si="28"/>
        <v/>
      </c>
      <c r="G349" s="53" t="str">
        <f t="shared" si="29"/>
        <v/>
      </c>
    </row>
    <row r="350" spans="1:7" ht="16.5">
      <c r="A350" s="51"/>
      <c r="B350" s="52" t="str">
        <f t="shared" si="26"/>
        <v/>
      </c>
      <c r="C350" s="47" t="str">
        <f>IF(A350="","",IF(MOD(A350-1,12)=0,C349*(1+Perfil!$C$7),C349))</f>
        <v/>
      </c>
      <c r="D350" s="53" t="str">
        <f t="shared" si="27"/>
        <v/>
      </c>
      <c r="E350" s="54" t="str">
        <f t="shared" si="25"/>
        <v/>
      </c>
      <c r="F350" s="53" t="str">
        <f t="shared" si="28"/>
        <v/>
      </c>
      <c r="G350" s="53" t="str">
        <f t="shared" si="29"/>
        <v/>
      </c>
    </row>
    <row r="351" spans="1:7" ht="16.5">
      <c r="A351" s="51"/>
      <c r="B351" s="52" t="str">
        <f t="shared" si="26"/>
        <v/>
      </c>
      <c r="C351" s="47" t="str">
        <f>IF(A351="","",IF(MOD(A351-1,12)=0,C350*(1+Perfil!$C$7),C350))</f>
        <v/>
      </c>
      <c r="D351" s="53" t="str">
        <f t="shared" si="27"/>
        <v/>
      </c>
      <c r="E351" s="54" t="str">
        <f t="shared" si="25"/>
        <v/>
      </c>
      <c r="F351" s="53" t="str">
        <f t="shared" si="28"/>
        <v/>
      </c>
      <c r="G351" s="53" t="str">
        <f t="shared" si="29"/>
        <v/>
      </c>
    </row>
    <row r="352" spans="1:7" ht="16.5">
      <c r="A352" s="51"/>
      <c r="B352" s="52" t="str">
        <f t="shared" si="26"/>
        <v/>
      </c>
      <c r="C352" s="47" t="str">
        <f>IF(A352="","",IF(MOD(A352-1,12)=0,C351*(1+Perfil!$C$7),C351))</f>
        <v/>
      </c>
      <c r="D352" s="53" t="str">
        <f t="shared" si="27"/>
        <v/>
      </c>
      <c r="E352" s="54" t="str">
        <f t="shared" si="25"/>
        <v/>
      </c>
      <c r="F352" s="53" t="str">
        <f t="shared" si="28"/>
        <v/>
      </c>
      <c r="G352" s="53" t="str">
        <f t="shared" si="29"/>
        <v/>
      </c>
    </row>
    <row r="353" spans="1:7" ht="16.5">
      <c r="A353" s="51"/>
      <c r="B353" s="52" t="str">
        <f t="shared" si="26"/>
        <v/>
      </c>
      <c r="C353" s="47" t="str">
        <f>IF(A353="","",IF(MOD(A353-1,12)=0,C352*(1+Perfil!$C$7),C352))</f>
        <v/>
      </c>
      <c r="D353" s="53" t="str">
        <f t="shared" si="27"/>
        <v/>
      </c>
      <c r="E353" s="54" t="str">
        <f t="shared" si="25"/>
        <v/>
      </c>
      <c r="F353" s="53" t="str">
        <f t="shared" si="28"/>
        <v/>
      </c>
      <c r="G353" s="53" t="str">
        <f t="shared" si="29"/>
        <v/>
      </c>
    </row>
    <row r="354" spans="1:7" ht="16.5">
      <c r="A354" s="51"/>
      <c r="B354" s="52" t="str">
        <f t="shared" si="26"/>
        <v/>
      </c>
      <c r="C354" s="47" t="str">
        <f>IF(A354="","",IF(MOD(A354-1,12)=0,C353*(1+Perfil!$C$7),C353))</f>
        <v/>
      </c>
      <c r="D354" s="53" t="str">
        <f t="shared" si="27"/>
        <v/>
      </c>
      <c r="E354" s="54" t="str">
        <f t="shared" si="25"/>
        <v/>
      </c>
      <c r="F354" s="53" t="str">
        <f t="shared" si="28"/>
        <v/>
      </c>
      <c r="G354" s="53" t="str">
        <f t="shared" si="29"/>
        <v/>
      </c>
    </row>
    <row r="355" spans="1:7" ht="16.5">
      <c r="A355" s="51"/>
      <c r="B355" s="52" t="str">
        <f t="shared" si="26"/>
        <v/>
      </c>
      <c r="C355" s="47" t="str">
        <f>IF(A355="","",IF(MOD(A355-1,12)=0,C354*(1+Perfil!$C$7),C354))</f>
        <v/>
      </c>
      <c r="D355" s="53" t="str">
        <f t="shared" si="27"/>
        <v/>
      </c>
      <c r="E355" s="54" t="str">
        <f t="shared" si="25"/>
        <v/>
      </c>
      <c r="F355" s="53" t="str">
        <f t="shared" si="28"/>
        <v/>
      </c>
      <c r="G355" s="53" t="str">
        <f t="shared" si="29"/>
        <v/>
      </c>
    </row>
    <row r="356" spans="1:7" ht="16.5">
      <c r="A356" s="51"/>
      <c r="B356" s="52" t="str">
        <f t="shared" si="26"/>
        <v/>
      </c>
      <c r="C356" s="47" t="str">
        <f>IF(A356="","",IF(MOD(A356-1,12)=0,C355*(1+Perfil!$C$7),C355))</f>
        <v/>
      </c>
      <c r="D356" s="53" t="str">
        <f t="shared" si="27"/>
        <v/>
      </c>
      <c r="E356" s="54" t="str">
        <f t="shared" si="25"/>
        <v/>
      </c>
      <c r="F356" s="53" t="str">
        <f t="shared" si="28"/>
        <v/>
      </c>
      <c r="G356" s="53" t="str">
        <f t="shared" si="29"/>
        <v/>
      </c>
    </row>
    <row r="357" spans="1:7" ht="16.5">
      <c r="A357" s="51"/>
      <c r="B357" s="52" t="str">
        <f t="shared" si="26"/>
        <v/>
      </c>
      <c r="C357" s="47" t="str">
        <f>IF(A357="","",IF(MOD(A357-1,12)=0,C356*(1+Perfil!$C$7),C356))</f>
        <v/>
      </c>
      <c r="D357" s="53" t="str">
        <f t="shared" si="27"/>
        <v/>
      </c>
      <c r="E357" s="54" t="str">
        <f t="shared" si="25"/>
        <v/>
      </c>
      <c r="F357" s="53" t="str">
        <f t="shared" si="28"/>
        <v/>
      </c>
      <c r="G357" s="53" t="str">
        <f t="shared" si="29"/>
        <v/>
      </c>
    </row>
    <row r="358" spans="1:7" ht="16.5">
      <c r="A358" s="51"/>
      <c r="B358" s="52" t="str">
        <f t="shared" si="26"/>
        <v/>
      </c>
      <c r="C358" s="47" t="str">
        <f>IF(A358="","",IF(MOD(A358-1,12)=0,C357*(1+Perfil!$C$7),C357))</f>
        <v/>
      </c>
      <c r="D358" s="53" t="str">
        <f t="shared" si="27"/>
        <v/>
      </c>
      <c r="E358" s="54" t="str">
        <f t="shared" si="25"/>
        <v/>
      </c>
      <c r="F358" s="53" t="str">
        <f t="shared" si="28"/>
        <v/>
      </c>
      <c r="G358" s="53" t="str">
        <f t="shared" si="29"/>
        <v/>
      </c>
    </row>
    <row r="359" spans="1:7" ht="16.5">
      <c r="A359" s="51"/>
      <c r="B359" s="52" t="str">
        <f t="shared" si="26"/>
        <v/>
      </c>
      <c r="C359" s="47" t="str">
        <f>IF(A359="","",IF(MOD(A359-1,12)=0,C358*(1+Perfil!$C$7),C358))</f>
        <v/>
      </c>
      <c r="D359" s="53" t="str">
        <f t="shared" si="27"/>
        <v/>
      </c>
      <c r="E359" s="54" t="str">
        <f t="shared" si="25"/>
        <v/>
      </c>
      <c r="F359" s="53" t="str">
        <f t="shared" si="28"/>
        <v/>
      </c>
      <c r="G359" s="53" t="str">
        <f t="shared" si="29"/>
        <v/>
      </c>
    </row>
    <row r="360" spans="1:7" ht="16.5">
      <c r="A360" s="51"/>
      <c r="B360" s="52" t="str">
        <f t="shared" si="26"/>
        <v/>
      </c>
      <c r="C360" s="47" t="str">
        <f>IF(A360="","",IF(MOD(A360-1,12)=0,C359*(1+Perfil!$C$7),C359))</f>
        <v/>
      </c>
      <c r="D360" s="53" t="str">
        <f t="shared" si="27"/>
        <v/>
      </c>
      <c r="E360" s="54" t="str">
        <f t="shared" si="25"/>
        <v/>
      </c>
      <c r="F360" s="53" t="str">
        <f t="shared" si="28"/>
        <v/>
      </c>
      <c r="G360" s="53" t="str">
        <f t="shared" si="29"/>
        <v/>
      </c>
    </row>
    <row r="361" spans="1:7" ht="16.5">
      <c r="A361" s="51"/>
      <c r="B361" s="52" t="str">
        <f t="shared" si="26"/>
        <v/>
      </c>
      <c r="C361" s="47" t="str">
        <f>IF(A361="","",IF(MOD(A361-1,12)=0,C360*(1+Perfil!$C$7),C360))</f>
        <v/>
      </c>
      <c r="D361" s="53" t="str">
        <f t="shared" si="27"/>
        <v/>
      </c>
      <c r="E361" s="54" t="str">
        <f t="shared" si="25"/>
        <v/>
      </c>
      <c r="F361" s="53" t="str">
        <f t="shared" si="28"/>
        <v/>
      </c>
      <c r="G361" s="53" t="str">
        <f t="shared" si="29"/>
        <v/>
      </c>
    </row>
    <row r="362" spans="1:7" ht="16.5">
      <c r="A362" s="51"/>
      <c r="B362" s="52" t="str">
        <f t="shared" si="26"/>
        <v/>
      </c>
      <c r="C362" s="47" t="str">
        <f>IF(A362="","",IF(MOD(A362-1,12)=0,C361*(1+Perfil!$C$7),C361))</f>
        <v/>
      </c>
      <c r="D362" s="53" t="str">
        <f t="shared" si="27"/>
        <v/>
      </c>
      <c r="E362" s="54" t="str">
        <f t="shared" si="25"/>
        <v/>
      </c>
      <c r="F362" s="53" t="str">
        <f t="shared" si="28"/>
        <v/>
      </c>
      <c r="G362" s="53" t="str">
        <f t="shared" si="29"/>
        <v/>
      </c>
    </row>
    <row r="363" spans="1:7" ht="16.5">
      <c r="A363" s="51"/>
      <c r="B363" s="52" t="str">
        <f t="shared" si="26"/>
        <v/>
      </c>
      <c r="C363" s="47" t="str">
        <f>IF(A363="","",IF(MOD(A363-1,12)=0,C362*(1+Perfil!$C$7),C362))</f>
        <v/>
      </c>
      <c r="D363" s="53" t="str">
        <f t="shared" si="27"/>
        <v/>
      </c>
      <c r="E363" s="54" t="str">
        <f t="shared" si="25"/>
        <v/>
      </c>
      <c r="F363" s="53" t="str">
        <f t="shared" si="28"/>
        <v/>
      </c>
      <c r="G363" s="53" t="str">
        <f t="shared" si="29"/>
        <v/>
      </c>
    </row>
    <row r="364" spans="1:7" ht="16.5">
      <c r="A364" s="51"/>
      <c r="B364" s="52" t="str">
        <f t="shared" si="26"/>
        <v/>
      </c>
      <c r="C364" s="47" t="str">
        <f>IF(A364="","",IF(MOD(A364-1,12)=0,C363*(1+Perfil!$C$7),C363))</f>
        <v/>
      </c>
      <c r="D364" s="53" t="str">
        <f t="shared" si="27"/>
        <v/>
      </c>
      <c r="E364" s="54" t="str">
        <f t="shared" si="25"/>
        <v/>
      </c>
      <c r="F364" s="53" t="str">
        <f t="shared" si="28"/>
        <v/>
      </c>
      <c r="G364" s="53" t="str">
        <f t="shared" si="29"/>
        <v/>
      </c>
    </row>
    <row r="365" spans="1:7" ht="16.5">
      <c r="A365" s="51"/>
      <c r="B365" s="52" t="str">
        <f t="shared" si="26"/>
        <v/>
      </c>
      <c r="C365" s="47" t="str">
        <f>IF(A365="","",IF(MOD(A365-1,12)=0,C364*(1+Perfil!$C$7),C364))</f>
        <v/>
      </c>
      <c r="D365" s="53" t="str">
        <f t="shared" si="27"/>
        <v/>
      </c>
      <c r="E365" s="54" t="str">
        <f t="shared" si="25"/>
        <v/>
      </c>
      <c r="F365" s="53" t="str">
        <f t="shared" si="28"/>
        <v/>
      </c>
      <c r="G365" s="53" t="str">
        <f t="shared" si="29"/>
        <v/>
      </c>
    </row>
    <row r="366" spans="1:7" ht="16.5">
      <c r="A366" s="51"/>
      <c r="B366" s="52" t="str">
        <f t="shared" si="26"/>
        <v/>
      </c>
      <c r="C366" s="47" t="str">
        <f>IF(A366="","",IF(MOD(A366-1,12)=0,C365*(1+Perfil!$C$7),C365))</f>
        <v/>
      </c>
      <c r="D366" s="53" t="str">
        <f t="shared" si="27"/>
        <v/>
      </c>
      <c r="E366" s="54" t="str">
        <f t="shared" si="25"/>
        <v/>
      </c>
      <c r="F366" s="53" t="str">
        <f t="shared" si="28"/>
        <v/>
      </c>
      <c r="G366" s="53" t="str">
        <f t="shared" si="29"/>
        <v/>
      </c>
    </row>
    <row r="367" spans="1:7" ht="16.5">
      <c r="A367" s="51"/>
      <c r="B367" s="52" t="str">
        <f t="shared" si="26"/>
        <v/>
      </c>
      <c r="C367" s="47" t="str">
        <f>IF(A367="","",IF(MOD(A367-1,12)=0,C366*(1+Perfil!$C$7),C366))</f>
        <v/>
      </c>
      <c r="D367" s="53" t="str">
        <f t="shared" si="27"/>
        <v/>
      </c>
      <c r="E367" s="54" t="str">
        <f t="shared" si="25"/>
        <v/>
      </c>
      <c r="F367" s="53" t="str">
        <f t="shared" si="28"/>
        <v/>
      </c>
      <c r="G367" s="53" t="str">
        <f t="shared" si="29"/>
        <v/>
      </c>
    </row>
    <row r="368" spans="1:7" ht="16.5">
      <c r="A368" s="51"/>
      <c r="B368" s="52" t="str">
        <f t="shared" si="26"/>
        <v/>
      </c>
      <c r="C368" s="47" t="str">
        <f>IF(A368="","",IF(MOD(A368-1,12)=0,C367*(1+Perfil!$C$7),C367))</f>
        <v/>
      </c>
      <c r="D368" s="53" t="str">
        <f t="shared" si="27"/>
        <v/>
      </c>
      <c r="E368" s="54" t="str">
        <f t="shared" si="25"/>
        <v/>
      </c>
      <c r="F368" s="53" t="str">
        <f t="shared" si="28"/>
        <v/>
      </c>
      <c r="G368" s="53" t="str">
        <f t="shared" si="29"/>
        <v/>
      </c>
    </row>
    <row r="369" spans="1:7" ht="16.5">
      <c r="A369" s="51"/>
      <c r="B369" s="52" t="str">
        <f t="shared" si="26"/>
        <v/>
      </c>
      <c r="C369" s="47" t="str">
        <f>IF(A369="","",IF(MOD(A369-1,12)=0,C368*(1+Perfil!$C$7),C368))</f>
        <v/>
      </c>
      <c r="D369" s="53" t="str">
        <f t="shared" si="27"/>
        <v/>
      </c>
      <c r="E369" s="54" t="str">
        <f t="shared" si="25"/>
        <v/>
      </c>
      <c r="F369" s="53" t="str">
        <f t="shared" si="28"/>
        <v/>
      </c>
      <c r="G369" s="53" t="str">
        <f t="shared" si="29"/>
        <v/>
      </c>
    </row>
    <row r="370" spans="1:7" ht="16.5">
      <c r="A370" s="51"/>
      <c r="B370" s="52" t="str">
        <f t="shared" si="26"/>
        <v/>
      </c>
      <c r="C370" s="47" t="str">
        <f>IF(A370="","",IF(MOD(A370-1,12)=0,C369*(1+Perfil!$C$7),C369))</f>
        <v/>
      </c>
      <c r="D370" s="53" t="str">
        <f t="shared" si="27"/>
        <v/>
      </c>
      <c r="E370" s="54" t="str">
        <f t="shared" si="25"/>
        <v/>
      </c>
      <c r="F370" s="53" t="str">
        <f t="shared" si="28"/>
        <v/>
      </c>
      <c r="G370" s="53" t="str">
        <f t="shared" si="29"/>
        <v/>
      </c>
    </row>
    <row r="371" spans="1:7" ht="16.5">
      <c r="A371" s="51"/>
      <c r="B371" s="52" t="str">
        <f t="shared" si="26"/>
        <v/>
      </c>
      <c r="C371" s="47" t="str">
        <f>IF(A371="","",IF(MOD(A371-1,12)=0,C370*(1+Perfil!$C$7),C370))</f>
        <v/>
      </c>
      <c r="D371" s="53" t="str">
        <f t="shared" si="27"/>
        <v/>
      </c>
      <c r="E371" s="54" t="str">
        <f t="shared" si="25"/>
        <v/>
      </c>
      <c r="F371" s="53" t="str">
        <f t="shared" si="28"/>
        <v/>
      </c>
      <c r="G371" s="53" t="str">
        <f t="shared" si="29"/>
        <v/>
      </c>
    </row>
    <row r="372" spans="1:7" ht="16.5">
      <c r="A372" s="51"/>
      <c r="B372" s="52" t="str">
        <f t="shared" si="26"/>
        <v/>
      </c>
      <c r="C372" s="47" t="str">
        <f>IF(A372="","",IF(MOD(A372-1,12)=0,C371*(1+Perfil!$C$7),C371))</f>
        <v/>
      </c>
      <c r="D372" s="53" t="str">
        <f t="shared" si="27"/>
        <v/>
      </c>
      <c r="E372" s="54" t="str">
        <f t="shared" si="25"/>
        <v/>
      </c>
      <c r="F372" s="53" t="str">
        <f t="shared" si="28"/>
        <v/>
      </c>
      <c r="G372" s="53" t="str">
        <f t="shared" si="29"/>
        <v/>
      </c>
    </row>
    <row r="373" spans="1:7" ht="16.5">
      <c r="A373" s="51"/>
      <c r="B373" s="52" t="str">
        <f t="shared" si="26"/>
        <v/>
      </c>
      <c r="C373" s="47" t="str">
        <f>IF(A373="","",IF(MOD(A373-1,12)=0,C372*(1+Perfil!$C$7),C372))</f>
        <v/>
      </c>
      <c r="D373" s="53" t="str">
        <f t="shared" si="27"/>
        <v/>
      </c>
      <c r="E373" s="54" t="str">
        <f t="shared" si="25"/>
        <v/>
      </c>
      <c r="F373" s="53" t="str">
        <f t="shared" si="28"/>
        <v/>
      </c>
      <c r="G373" s="53" t="str">
        <f t="shared" si="29"/>
        <v/>
      </c>
    </row>
    <row r="374" spans="1:7" ht="16.5">
      <c r="A374" s="51"/>
      <c r="B374" s="52" t="str">
        <f t="shared" si="26"/>
        <v/>
      </c>
      <c r="C374" s="47" t="str">
        <f>IF(A374="","",IF(MOD(A374-1,12)=0,C373*(1+Perfil!$C$7),C373))</f>
        <v/>
      </c>
      <c r="D374" s="53" t="str">
        <f t="shared" si="27"/>
        <v/>
      </c>
      <c r="E374" s="54" t="str">
        <f t="shared" si="25"/>
        <v/>
      </c>
      <c r="F374" s="53" t="str">
        <f t="shared" si="28"/>
        <v/>
      </c>
      <c r="G374" s="53" t="str">
        <f t="shared" si="29"/>
        <v/>
      </c>
    </row>
    <row r="375" spans="1:7" ht="16.5">
      <c r="A375" s="51"/>
      <c r="B375" s="52" t="str">
        <f t="shared" si="26"/>
        <v/>
      </c>
      <c r="C375" s="47" t="str">
        <f>IF(A375="","",IF(MOD(A375-1,12)=0,C374*(1+Perfil!$C$7),C374))</f>
        <v/>
      </c>
      <c r="D375" s="53" t="str">
        <f t="shared" si="27"/>
        <v/>
      </c>
      <c r="E375" s="54" t="str">
        <f t="shared" si="25"/>
        <v/>
      </c>
      <c r="F375" s="53" t="str">
        <f t="shared" si="28"/>
        <v/>
      </c>
      <c r="G375" s="53" t="str">
        <f t="shared" si="29"/>
        <v/>
      </c>
    </row>
    <row r="376" spans="1:7" ht="16.5">
      <c r="A376" s="51"/>
      <c r="B376" s="52" t="str">
        <f t="shared" si="26"/>
        <v/>
      </c>
      <c r="C376" s="47" t="str">
        <f>IF(A376="","",IF(MOD(A376-1,12)=0,C375*(1+Perfil!$C$7),C375))</f>
        <v/>
      </c>
      <c r="D376" s="53" t="str">
        <f t="shared" si="27"/>
        <v/>
      </c>
      <c r="E376" s="54" t="str">
        <f t="shared" si="25"/>
        <v/>
      </c>
      <c r="F376" s="53" t="str">
        <f t="shared" si="28"/>
        <v/>
      </c>
      <c r="G376" s="53" t="str">
        <f t="shared" si="29"/>
        <v/>
      </c>
    </row>
    <row r="377" spans="1:7" ht="16.5">
      <c r="A377" s="51"/>
      <c r="B377" s="52" t="str">
        <f t="shared" si="26"/>
        <v/>
      </c>
      <c r="C377" s="47" t="str">
        <f>IF(A377="","",IF(MOD(A377-1,12)=0,C376*(1+Perfil!$C$7),C376))</f>
        <v/>
      </c>
      <c r="D377" s="53" t="str">
        <f t="shared" si="27"/>
        <v/>
      </c>
      <c r="E377" s="54" t="str">
        <f t="shared" si="25"/>
        <v/>
      </c>
      <c r="F377" s="53" t="str">
        <f t="shared" si="28"/>
        <v/>
      </c>
      <c r="G377" s="53" t="str">
        <f t="shared" si="29"/>
        <v/>
      </c>
    </row>
    <row r="378" spans="1:7" ht="16.5">
      <c r="A378" s="51"/>
      <c r="B378" s="52" t="str">
        <f t="shared" si="26"/>
        <v/>
      </c>
      <c r="C378" s="47" t="str">
        <f>IF(A378="","",IF(MOD(A378-1,12)=0,C377*(1+Perfil!$C$7),C377))</f>
        <v/>
      </c>
      <c r="D378" s="53" t="str">
        <f t="shared" si="27"/>
        <v/>
      </c>
      <c r="E378" s="54" t="str">
        <f t="shared" si="25"/>
        <v/>
      </c>
      <c r="F378" s="53" t="str">
        <f t="shared" si="28"/>
        <v/>
      </c>
      <c r="G378" s="53" t="str">
        <f t="shared" si="29"/>
        <v/>
      </c>
    </row>
    <row r="379" spans="1:7" ht="16.5">
      <c r="A379" s="51"/>
      <c r="B379" s="52" t="str">
        <f t="shared" si="26"/>
        <v/>
      </c>
      <c r="C379" s="47" t="str">
        <f>IF(A379="","",IF(MOD(A379-1,12)=0,C378*(1+Perfil!$C$7),C378))</f>
        <v/>
      </c>
      <c r="D379" s="53" t="str">
        <f t="shared" si="27"/>
        <v/>
      </c>
      <c r="E379" s="54" t="str">
        <f t="shared" si="25"/>
        <v/>
      </c>
      <c r="F379" s="53" t="str">
        <f t="shared" si="28"/>
        <v/>
      </c>
      <c r="G379" s="53" t="str">
        <f t="shared" si="29"/>
        <v/>
      </c>
    </row>
    <row r="380" spans="1:7" ht="16.5">
      <c r="A380" s="51"/>
      <c r="B380" s="52" t="str">
        <f>IF(A380="","",G379)</f>
        <v/>
      </c>
      <c r="C380" s="47" t="str">
        <f>IF(A380="","",IF(MOD(A380-1,12)=0,C379*(1+Perfil!$C$7),C379))</f>
        <v/>
      </c>
      <c r="D380" s="53" t="str">
        <f t="shared" si="27"/>
        <v/>
      </c>
      <c r="E380" s="54" t="str">
        <f t="shared" si="25"/>
        <v/>
      </c>
      <c r="F380" s="53" t="str">
        <f t="shared" si="28"/>
        <v/>
      </c>
      <c r="G380" s="53" t="str">
        <f t="shared" si="29"/>
        <v/>
      </c>
    </row>
    <row r="381" spans="1:7" ht="16.5">
      <c r="A381" s="51"/>
      <c r="B381" s="52" t="str">
        <f t="shared" ref="B381:B444" si="30">IF(A381="","",G380)</f>
        <v/>
      </c>
      <c r="C381" s="47" t="str">
        <f>IF(A381="","",IF(MOD(A381-1,12)=0,C380*(1+Perfil!$C$7),C380))</f>
        <v/>
      </c>
      <c r="D381" s="53" t="str">
        <f t="shared" si="27"/>
        <v/>
      </c>
      <c r="E381" s="54" t="str">
        <f t="shared" si="25"/>
        <v/>
      </c>
      <c r="F381" s="53" t="str">
        <f t="shared" si="28"/>
        <v/>
      </c>
      <c r="G381" s="53" t="str">
        <f t="shared" si="29"/>
        <v/>
      </c>
    </row>
    <row r="382" spans="1:7" ht="16.5">
      <c r="A382" s="51"/>
      <c r="B382" s="52" t="str">
        <f t="shared" si="30"/>
        <v/>
      </c>
      <c r="C382" s="47" t="str">
        <f>IF(A382="","",IF(MOD(A382-1,12)=0,C381*(1+Perfil!$C$7),C381))</f>
        <v/>
      </c>
      <c r="D382" s="53" t="str">
        <f t="shared" si="27"/>
        <v/>
      </c>
      <c r="E382" s="54" t="str">
        <f t="shared" si="25"/>
        <v/>
      </c>
      <c r="F382" s="53" t="str">
        <f t="shared" si="28"/>
        <v/>
      </c>
      <c r="G382" s="53" t="str">
        <f t="shared" si="29"/>
        <v/>
      </c>
    </row>
    <row r="383" spans="1:7" ht="16.5">
      <c r="A383" s="51"/>
      <c r="B383" s="52" t="str">
        <f t="shared" si="30"/>
        <v/>
      </c>
      <c r="C383" s="47" t="str">
        <f>IF(A383="","",IF(MOD(A383-1,12)=0,C382*(1+Perfil!$C$7),C382))</f>
        <v/>
      </c>
      <c r="D383" s="53" t="str">
        <f t="shared" si="27"/>
        <v/>
      </c>
      <c r="E383" s="54" t="str">
        <f t="shared" si="25"/>
        <v/>
      </c>
      <c r="F383" s="53" t="str">
        <f t="shared" si="28"/>
        <v/>
      </c>
      <c r="G383" s="53" t="str">
        <f t="shared" si="29"/>
        <v/>
      </c>
    </row>
    <row r="384" spans="1:7" ht="16.5">
      <c r="A384" s="51"/>
      <c r="B384" s="52" t="str">
        <f t="shared" si="30"/>
        <v/>
      </c>
      <c r="C384" s="47" t="str">
        <f>IF(A384="","",IF(MOD(A384-1,12)=0,C383*(1+Perfil!$C$7),C383))</f>
        <v/>
      </c>
      <c r="D384" s="53" t="str">
        <f t="shared" si="27"/>
        <v/>
      </c>
      <c r="E384" s="54" t="str">
        <f t="shared" si="25"/>
        <v/>
      </c>
      <c r="F384" s="53" t="str">
        <f t="shared" si="28"/>
        <v/>
      </c>
      <c r="G384" s="53" t="str">
        <f t="shared" si="29"/>
        <v/>
      </c>
    </row>
    <row r="385" spans="1:7" ht="16.5">
      <c r="A385" s="51"/>
      <c r="B385" s="52" t="str">
        <f t="shared" si="30"/>
        <v/>
      </c>
      <c r="C385" s="47" t="str">
        <f>IF(A385="","",IF(MOD(A385-1,12)=0,C384*(1+Perfil!$C$7),C384))</f>
        <v/>
      </c>
      <c r="D385" s="53" t="str">
        <f t="shared" si="27"/>
        <v/>
      </c>
      <c r="E385" s="54" t="str">
        <f t="shared" si="25"/>
        <v/>
      </c>
      <c r="F385" s="53" t="str">
        <f t="shared" si="28"/>
        <v/>
      </c>
      <c r="G385" s="53" t="str">
        <f t="shared" si="29"/>
        <v/>
      </c>
    </row>
    <row r="386" spans="1:7" ht="16.5">
      <c r="A386" s="51"/>
      <c r="B386" s="52" t="str">
        <f t="shared" si="30"/>
        <v/>
      </c>
      <c r="C386" s="47" t="str">
        <f>IF(A386="","",IF(MOD(A386-1,12)=0,C385*(1+Perfil!$C$7),C385))</f>
        <v/>
      </c>
      <c r="D386" s="53" t="str">
        <f t="shared" si="27"/>
        <v/>
      </c>
      <c r="E386" s="54" t="str">
        <f t="shared" si="25"/>
        <v/>
      </c>
      <c r="F386" s="53" t="str">
        <f t="shared" si="28"/>
        <v/>
      </c>
      <c r="G386" s="53" t="str">
        <f t="shared" si="29"/>
        <v/>
      </c>
    </row>
    <row r="387" spans="1:7" ht="16.5">
      <c r="A387" s="51"/>
      <c r="B387" s="52" t="str">
        <f t="shared" si="30"/>
        <v/>
      </c>
      <c r="C387" s="47" t="str">
        <f>IF(A387="","",IF(MOD(A387-1,12)=0,C386*(1+Perfil!$C$7),C386))</f>
        <v/>
      </c>
      <c r="D387" s="53" t="str">
        <f t="shared" si="27"/>
        <v/>
      </c>
      <c r="E387" s="54" t="str">
        <f t="shared" si="25"/>
        <v/>
      </c>
      <c r="F387" s="53" t="str">
        <f t="shared" si="28"/>
        <v/>
      </c>
      <c r="G387" s="53" t="str">
        <f t="shared" si="29"/>
        <v/>
      </c>
    </row>
    <row r="388" spans="1:7" ht="16.5">
      <c r="A388" s="51"/>
      <c r="B388" s="52" t="str">
        <f t="shared" si="30"/>
        <v/>
      </c>
      <c r="C388" s="47" t="str">
        <f>IF(A388="","",IF(MOD(A388-1,12)=0,C387*(1+Perfil!$C$7),C387))</f>
        <v/>
      </c>
      <c r="D388" s="53" t="str">
        <f t="shared" si="27"/>
        <v/>
      </c>
      <c r="E388" s="54" t="str">
        <f t="shared" si="25"/>
        <v/>
      </c>
      <c r="F388" s="53" t="str">
        <f t="shared" si="28"/>
        <v/>
      </c>
      <c r="G388" s="53" t="str">
        <f t="shared" si="29"/>
        <v/>
      </c>
    </row>
    <row r="389" spans="1:7" ht="16.5">
      <c r="A389" s="51"/>
      <c r="B389" s="52" t="str">
        <f t="shared" si="30"/>
        <v/>
      </c>
      <c r="C389" s="47" t="str">
        <f>IF(A389="","",IF(MOD(A389-1,12)=0,C388*(1+Perfil!$C$7),C388))</f>
        <v/>
      </c>
      <c r="D389" s="53" t="str">
        <f t="shared" si="27"/>
        <v/>
      </c>
      <c r="E389" s="54" t="str">
        <f t="shared" si="25"/>
        <v/>
      </c>
      <c r="F389" s="53" t="str">
        <f t="shared" si="28"/>
        <v/>
      </c>
      <c r="G389" s="53" t="str">
        <f t="shared" si="29"/>
        <v/>
      </c>
    </row>
    <row r="390" spans="1:7" ht="16.5">
      <c r="A390" s="51"/>
      <c r="B390" s="52" t="str">
        <f t="shared" si="30"/>
        <v/>
      </c>
      <c r="C390" s="47" t="str">
        <f>IF(A390="","",IF(MOD(A390-1,12)=0,C389*(1+Perfil!$C$7),C389))</f>
        <v/>
      </c>
      <c r="D390" s="53" t="str">
        <f t="shared" si="27"/>
        <v/>
      </c>
      <c r="E390" s="54" t="str">
        <f t="shared" si="25"/>
        <v/>
      </c>
      <c r="F390" s="53" t="str">
        <f t="shared" si="28"/>
        <v/>
      </c>
      <c r="G390" s="53" t="str">
        <f t="shared" si="29"/>
        <v/>
      </c>
    </row>
    <row r="391" spans="1:7" ht="16.5">
      <c r="A391" s="51"/>
      <c r="B391" s="52" t="str">
        <f t="shared" si="30"/>
        <v/>
      </c>
      <c r="C391" s="47" t="str">
        <f>IF(A391="","",IF(MOD(A391-1,12)=0,C390*(1+Perfil!$C$7),C390))</f>
        <v/>
      </c>
      <c r="D391" s="53" t="str">
        <f t="shared" si="27"/>
        <v/>
      </c>
      <c r="E391" s="54" t="str">
        <f t="shared" si="25"/>
        <v/>
      </c>
      <c r="F391" s="53" t="str">
        <f t="shared" si="28"/>
        <v/>
      </c>
      <c r="G391" s="53" t="str">
        <f t="shared" si="29"/>
        <v/>
      </c>
    </row>
    <row r="392" spans="1:7" ht="16.5">
      <c r="A392" s="51"/>
      <c r="B392" s="52" t="str">
        <f t="shared" si="30"/>
        <v/>
      </c>
      <c r="C392" s="47" t="str">
        <f>IF(A392="","",IF(MOD(A392-1,12)=0,C391*(1+Perfil!$C$7),C391))</f>
        <v/>
      </c>
      <c r="D392" s="53" t="str">
        <f t="shared" si="27"/>
        <v/>
      </c>
      <c r="E392" s="54" t="str">
        <f t="shared" si="25"/>
        <v/>
      </c>
      <c r="F392" s="53" t="str">
        <f t="shared" si="28"/>
        <v/>
      </c>
      <c r="G392" s="53" t="str">
        <f t="shared" si="29"/>
        <v/>
      </c>
    </row>
    <row r="393" spans="1:7" ht="16.5">
      <c r="A393" s="51"/>
      <c r="B393" s="52" t="str">
        <f t="shared" si="30"/>
        <v/>
      </c>
      <c r="C393" s="47" t="str">
        <f>IF(A393="","",IF(MOD(A393-1,12)=0,C392*(1+Perfil!$C$7),C392))</f>
        <v/>
      </c>
      <c r="D393" s="53" t="str">
        <f t="shared" si="27"/>
        <v/>
      </c>
      <c r="E393" s="54" t="str">
        <f t="shared" si="25"/>
        <v/>
      </c>
      <c r="F393" s="53" t="str">
        <f t="shared" si="28"/>
        <v/>
      </c>
      <c r="G393" s="53" t="str">
        <f t="shared" si="29"/>
        <v/>
      </c>
    </row>
    <row r="394" spans="1:7" ht="16.5">
      <c r="A394" s="51"/>
      <c r="B394" s="52" t="str">
        <f t="shared" si="30"/>
        <v/>
      </c>
      <c r="C394" s="47" t="str">
        <f>IF(A394="","",IF(MOD(A394-1,12)=0,C393*(1+Perfil!$C$7),C393))</f>
        <v/>
      </c>
      <c r="D394" s="53" t="str">
        <f t="shared" si="27"/>
        <v/>
      </c>
      <c r="E394" s="54" t="str">
        <f t="shared" si="25"/>
        <v/>
      </c>
      <c r="F394" s="53" t="str">
        <f t="shared" si="28"/>
        <v/>
      </c>
      <c r="G394" s="53" t="str">
        <f t="shared" si="29"/>
        <v/>
      </c>
    </row>
    <row r="395" spans="1:7" ht="16.5">
      <c r="A395" s="51"/>
      <c r="B395" s="52" t="str">
        <f t="shared" si="30"/>
        <v/>
      </c>
      <c r="C395" s="47" t="str">
        <f>IF(A395="","",IF(MOD(A395-1,12)=0,C394*(1+Perfil!$C$7),C394))</f>
        <v/>
      </c>
      <c r="D395" s="53" t="str">
        <f t="shared" si="27"/>
        <v/>
      </c>
      <c r="E395" s="54" t="str">
        <f t="shared" si="25"/>
        <v/>
      </c>
      <c r="F395" s="53" t="str">
        <f t="shared" si="28"/>
        <v/>
      </c>
      <c r="G395" s="53" t="str">
        <f t="shared" si="29"/>
        <v/>
      </c>
    </row>
    <row r="396" spans="1:7" ht="16.5">
      <c r="A396" s="51"/>
      <c r="B396" s="52" t="str">
        <f t="shared" si="30"/>
        <v/>
      </c>
      <c r="C396" s="47" t="str">
        <f>IF(A396="","",IF(MOD(A396-1,12)=0,C395*(1+Perfil!$C$7),C395))</f>
        <v/>
      </c>
      <c r="D396" s="53" t="str">
        <f t="shared" si="27"/>
        <v/>
      </c>
      <c r="E396" s="54" t="str">
        <f t="shared" si="25"/>
        <v/>
      </c>
      <c r="F396" s="53" t="str">
        <f t="shared" si="28"/>
        <v/>
      </c>
      <c r="G396" s="53" t="str">
        <f t="shared" si="29"/>
        <v/>
      </c>
    </row>
    <row r="397" spans="1:7" ht="16.5">
      <c r="A397" s="51"/>
      <c r="B397" s="52" t="str">
        <f t="shared" si="30"/>
        <v/>
      </c>
      <c r="C397" s="47" t="str">
        <f>IF(A397="","",IF(MOD(A397-1,12)=0,C396*(1+Perfil!$C$7),C396))</f>
        <v/>
      </c>
      <c r="D397" s="53" t="str">
        <f t="shared" si="27"/>
        <v/>
      </c>
      <c r="E397" s="54" t="str">
        <f t="shared" si="25"/>
        <v/>
      </c>
      <c r="F397" s="53" t="str">
        <f t="shared" si="28"/>
        <v/>
      </c>
      <c r="G397" s="53" t="str">
        <f t="shared" si="29"/>
        <v/>
      </c>
    </row>
    <row r="398" spans="1:7" ht="16.5">
      <c r="A398" s="51"/>
      <c r="B398" s="52" t="str">
        <f t="shared" si="30"/>
        <v/>
      </c>
      <c r="C398" s="47" t="str">
        <f>IF(A398="","",IF(MOD(A398-1,12)=0,C397*(1+Perfil!$C$7),C397))</f>
        <v/>
      </c>
      <c r="D398" s="53" t="str">
        <f t="shared" si="27"/>
        <v/>
      </c>
      <c r="E398" s="54" t="str">
        <f t="shared" si="25"/>
        <v/>
      </c>
      <c r="F398" s="53" t="str">
        <f t="shared" si="28"/>
        <v/>
      </c>
      <c r="G398" s="53" t="str">
        <f t="shared" si="29"/>
        <v/>
      </c>
    </row>
    <row r="399" spans="1:7" ht="16.5">
      <c r="A399" s="51"/>
      <c r="B399" s="52" t="str">
        <f t="shared" si="30"/>
        <v/>
      </c>
      <c r="C399" s="47" t="str">
        <f>IF(A399="","",IF(MOD(A399-1,12)=0,C398*(1+Perfil!$C$7),C398))</f>
        <v/>
      </c>
      <c r="D399" s="53" t="str">
        <f t="shared" si="27"/>
        <v/>
      </c>
      <c r="E399" s="54" t="str">
        <f t="shared" si="25"/>
        <v/>
      </c>
      <c r="F399" s="53" t="str">
        <f t="shared" si="28"/>
        <v/>
      </c>
      <c r="G399" s="53" t="str">
        <f t="shared" si="29"/>
        <v/>
      </c>
    </row>
    <row r="400" spans="1:7" ht="16.5">
      <c r="A400" s="51"/>
      <c r="B400" s="52" t="str">
        <f t="shared" si="30"/>
        <v/>
      </c>
      <c r="C400" s="47" t="str">
        <f>IF(A400="","",IF(MOD(A400-1,12)=0,C399*(1+Perfil!$C$7),C399))</f>
        <v/>
      </c>
      <c r="D400" s="53" t="str">
        <f t="shared" si="27"/>
        <v/>
      </c>
      <c r="E400" s="54" t="str">
        <f t="shared" si="25"/>
        <v/>
      </c>
      <c r="F400" s="53" t="str">
        <f t="shared" si="28"/>
        <v/>
      </c>
      <c r="G400" s="53" t="str">
        <f t="shared" si="29"/>
        <v/>
      </c>
    </row>
    <row r="401" spans="1:7" ht="16.5">
      <c r="A401" s="51"/>
      <c r="B401" s="52" t="str">
        <f t="shared" si="30"/>
        <v/>
      </c>
      <c r="C401" s="47" t="str">
        <f>IF(A401="","",IF(MOD(A401-1,12)=0,C400*(1+Perfil!$C$7),C400))</f>
        <v/>
      </c>
      <c r="D401" s="53" t="str">
        <f t="shared" si="27"/>
        <v/>
      </c>
      <c r="E401" s="54" t="str">
        <f t="shared" si="25"/>
        <v/>
      </c>
      <c r="F401" s="53" t="str">
        <f t="shared" si="28"/>
        <v/>
      </c>
      <c r="G401" s="53" t="str">
        <f t="shared" si="29"/>
        <v/>
      </c>
    </row>
    <row r="402" spans="1:7" ht="16.5">
      <c r="A402" s="51"/>
      <c r="B402" s="52" t="str">
        <f t="shared" si="30"/>
        <v/>
      </c>
      <c r="C402" s="47" t="str">
        <f>IF(A402="","",IF(MOD(A402-1,12)=0,C401*(1+Perfil!$C$7),C401))</f>
        <v/>
      </c>
      <c r="D402" s="53" t="str">
        <f t="shared" si="27"/>
        <v/>
      </c>
      <c r="E402" s="54" t="str">
        <f t="shared" si="25"/>
        <v/>
      </c>
      <c r="F402" s="53" t="str">
        <f t="shared" si="28"/>
        <v/>
      </c>
      <c r="G402" s="53" t="str">
        <f t="shared" si="29"/>
        <v/>
      </c>
    </row>
    <row r="403" spans="1:7" ht="16.5">
      <c r="A403" s="51"/>
      <c r="B403" s="52" t="str">
        <f t="shared" si="30"/>
        <v/>
      </c>
      <c r="C403" s="47" t="str">
        <f>IF(A403="","",IF(MOD(A403-1,12)=0,C402*(1+Perfil!$C$7),C402))</f>
        <v/>
      </c>
      <c r="D403" s="53" t="str">
        <f t="shared" si="27"/>
        <v/>
      </c>
      <c r="E403" s="54" t="str">
        <f t="shared" si="25"/>
        <v/>
      </c>
      <c r="F403" s="53" t="str">
        <f t="shared" si="28"/>
        <v/>
      </c>
      <c r="G403" s="53" t="str">
        <f t="shared" si="29"/>
        <v/>
      </c>
    </row>
    <row r="404" spans="1:7" ht="16.5">
      <c r="A404" s="51"/>
      <c r="B404" s="52" t="str">
        <f t="shared" si="30"/>
        <v/>
      </c>
      <c r="C404" s="47" t="str">
        <f>IF(A404="","",IF(MOD(A404-1,12)=0,C403*(1+Perfil!$C$7),C403))</f>
        <v/>
      </c>
      <c r="D404" s="53" t="str">
        <f t="shared" si="27"/>
        <v/>
      </c>
      <c r="E404" s="54" t="str">
        <f t="shared" si="25"/>
        <v/>
      </c>
      <c r="F404" s="53" t="str">
        <f t="shared" si="28"/>
        <v/>
      </c>
      <c r="G404" s="53" t="str">
        <f t="shared" si="29"/>
        <v/>
      </c>
    </row>
    <row r="405" spans="1:7" ht="16.5">
      <c r="A405" s="51"/>
      <c r="B405" s="52" t="str">
        <f t="shared" si="30"/>
        <v/>
      </c>
      <c r="C405" s="47" t="str">
        <f>IF(A405="","",IF(MOD(A405-1,12)=0,C404*(1+Perfil!$C$7),C404))</f>
        <v/>
      </c>
      <c r="D405" s="53" t="str">
        <f t="shared" si="27"/>
        <v/>
      </c>
      <c r="E405" s="54" t="str">
        <f t="shared" ref="E405:E468" si="31">IF(A405="","",$C$10)</f>
        <v/>
      </c>
      <c r="F405" s="53" t="str">
        <f t="shared" si="28"/>
        <v/>
      </c>
      <c r="G405" s="53" t="str">
        <f t="shared" si="29"/>
        <v/>
      </c>
    </row>
    <row r="406" spans="1:7" ht="16.5">
      <c r="A406" s="51"/>
      <c r="B406" s="52" t="str">
        <f t="shared" si="30"/>
        <v/>
      </c>
      <c r="C406" s="47" t="str">
        <f>IF(A406="","",IF(MOD(A406-1,12)=0,C405*(1+Perfil!$C$7),C405))</f>
        <v/>
      </c>
      <c r="D406" s="53" t="str">
        <f t="shared" ref="D406:D469" si="32">IF(A406="","",B406+C406)</f>
        <v/>
      </c>
      <c r="E406" s="54" t="str">
        <f t="shared" si="31"/>
        <v/>
      </c>
      <c r="F406" s="53" t="str">
        <f t="shared" ref="F406:F469" si="33">IF(A406="","",D406*E406)</f>
        <v/>
      </c>
      <c r="G406" s="53" t="str">
        <f t="shared" ref="G406:G469" si="34">IF(A406="","",D406+F406)</f>
        <v/>
      </c>
    </row>
    <row r="407" spans="1:7" ht="16.5">
      <c r="A407" s="51"/>
      <c r="B407" s="52" t="str">
        <f t="shared" si="30"/>
        <v/>
      </c>
      <c r="C407" s="47" t="str">
        <f>IF(A407="","",IF(MOD(A407-1,12)=0,C406*(1+Perfil!$C$7),C406))</f>
        <v/>
      </c>
      <c r="D407" s="53" t="str">
        <f t="shared" si="32"/>
        <v/>
      </c>
      <c r="E407" s="54" t="str">
        <f t="shared" si="31"/>
        <v/>
      </c>
      <c r="F407" s="53" t="str">
        <f t="shared" si="33"/>
        <v/>
      </c>
      <c r="G407" s="53" t="str">
        <f t="shared" si="34"/>
        <v/>
      </c>
    </row>
    <row r="408" spans="1:7" ht="16.5">
      <c r="A408" s="51"/>
      <c r="B408" s="52" t="str">
        <f t="shared" si="30"/>
        <v/>
      </c>
      <c r="C408" s="47" t="str">
        <f>IF(A408="","",IF(MOD(A408-1,12)=0,C407*(1+Perfil!$C$7),C407))</f>
        <v/>
      </c>
      <c r="D408" s="53" t="str">
        <f t="shared" si="32"/>
        <v/>
      </c>
      <c r="E408" s="54" t="str">
        <f t="shared" si="31"/>
        <v/>
      </c>
      <c r="F408" s="53" t="str">
        <f t="shared" si="33"/>
        <v/>
      </c>
      <c r="G408" s="53" t="str">
        <f t="shared" si="34"/>
        <v/>
      </c>
    </row>
    <row r="409" spans="1:7" ht="16.5">
      <c r="A409" s="51"/>
      <c r="B409" s="52" t="str">
        <f t="shared" si="30"/>
        <v/>
      </c>
      <c r="C409" s="47" t="str">
        <f>IF(A409="","",IF(MOD(A409-1,12)=0,C408*(1+Perfil!$C$7),C408))</f>
        <v/>
      </c>
      <c r="D409" s="53" t="str">
        <f t="shared" si="32"/>
        <v/>
      </c>
      <c r="E409" s="54" t="str">
        <f t="shared" si="31"/>
        <v/>
      </c>
      <c r="F409" s="53" t="str">
        <f t="shared" si="33"/>
        <v/>
      </c>
      <c r="G409" s="53" t="str">
        <f t="shared" si="34"/>
        <v/>
      </c>
    </row>
    <row r="410" spans="1:7" ht="16.5">
      <c r="A410" s="51"/>
      <c r="B410" s="52" t="str">
        <f t="shared" si="30"/>
        <v/>
      </c>
      <c r="C410" s="47" t="str">
        <f>IF(A410="","",IF(MOD(A410-1,12)=0,C409*(1+Perfil!$C$7),C409))</f>
        <v/>
      </c>
      <c r="D410" s="53" t="str">
        <f t="shared" si="32"/>
        <v/>
      </c>
      <c r="E410" s="54" t="str">
        <f t="shared" si="31"/>
        <v/>
      </c>
      <c r="F410" s="53" t="str">
        <f t="shared" si="33"/>
        <v/>
      </c>
      <c r="G410" s="53" t="str">
        <f t="shared" si="34"/>
        <v/>
      </c>
    </row>
    <row r="411" spans="1:7" ht="16.5">
      <c r="A411" s="51"/>
      <c r="B411" s="52" t="str">
        <f t="shared" si="30"/>
        <v/>
      </c>
      <c r="C411" s="47" t="str">
        <f>IF(A411="","",IF(MOD(A411-1,12)=0,C410*(1+Perfil!$C$7),C410))</f>
        <v/>
      </c>
      <c r="D411" s="53" t="str">
        <f t="shared" si="32"/>
        <v/>
      </c>
      <c r="E411" s="54" t="str">
        <f t="shared" si="31"/>
        <v/>
      </c>
      <c r="F411" s="53" t="str">
        <f t="shared" si="33"/>
        <v/>
      </c>
      <c r="G411" s="53" t="str">
        <f t="shared" si="34"/>
        <v/>
      </c>
    </row>
    <row r="412" spans="1:7" ht="16.5">
      <c r="A412" s="51"/>
      <c r="B412" s="52" t="str">
        <f t="shared" si="30"/>
        <v/>
      </c>
      <c r="C412" s="47" t="str">
        <f>IF(A412="","",IF(MOD(A412-1,12)=0,C411*(1+Perfil!$C$7),C411))</f>
        <v/>
      </c>
      <c r="D412" s="53" t="str">
        <f t="shared" si="32"/>
        <v/>
      </c>
      <c r="E412" s="54" t="str">
        <f t="shared" si="31"/>
        <v/>
      </c>
      <c r="F412" s="53" t="str">
        <f t="shared" si="33"/>
        <v/>
      </c>
      <c r="G412" s="53" t="str">
        <f t="shared" si="34"/>
        <v/>
      </c>
    </row>
    <row r="413" spans="1:7" ht="16.5">
      <c r="A413" s="51"/>
      <c r="B413" s="52" t="str">
        <f t="shared" si="30"/>
        <v/>
      </c>
      <c r="C413" s="47" t="str">
        <f>IF(A413="","",IF(MOD(A413-1,12)=0,C412*(1+Perfil!$C$7),C412))</f>
        <v/>
      </c>
      <c r="D413" s="53" t="str">
        <f t="shared" si="32"/>
        <v/>
      </c>
      <c r="E413" s="54" t="str">
        <f t="shared" si="31"/>
        <v/>
      </c>
      <c r="F413" s="53" t="str">
        <f t="shared" si="33"/>
        <v/>
      </c>
      <c r="G413" s="53" t="str">
        <f t="shared" si="34"/>
        <v/>
      </c>
    </row>
    <row r="414" spans="1:7" ht="16.5">
      <c r="A414" s="51"/>
      <c r="B414" s="52" t="str">
        <f t="shared" si="30"/>
        <v/>
      </c>
      <c r="C414" s="47" t="str">
        <f>IF(A414="","",IF(MOD(A414-1,12)=0,C413*(1+Perfil!$C$7),C413))</f>
        <v/>
      </c>
      <c r="D414" s="53" t="str">
        <f t="shared" si="32"/>
        <v/>
      </c>
      <c r="E414" s="54" t="str">
        <f t="shared" si="31"/>
        <v/>
      </c>
      <c r="F414" s="53" t="str">
        <f t="shared" si="33"/>
        <v/>
      </c>
      <c r="G414" s="53" t="str">
        <f t="shared" si="34"/>
        <v/>
      </c>
    </row>
    <row r="415" spans="1:7" ht="16.5">
      <c r="A415" s="51"/>
      <c r="B415" s="52" t="str">
        <f t="shared" si="30"/>
        <v/>
      </c>
      <c r="C415" s="47" t="str">
        <f>IF(A415="","",IF(MOD(A415-1,12)=0,C414*(1+Perfil!$C$7),C414))</f>
        <v/>
      </c>
      <c r="D415" s="53" t="str">
        <f t="shared" si="32"/>
        <v/>
      </c>
      <c r="E415" s="54" t="str">
        <f t="shared" si="31"/>
        <v/>
      </c>
      <c r="F415" s="53" t="str">
        <f t="shared" si="33"/>
        <v/>
      </c>
      <c r="G415" s="53" t="str">
        <f t="shared" si="34"/>
        <v/>
      </c>
    </row>
    <row r="416" spans="1:7" ht="16.5">
      <c r="A416" s="51"/>
      <c r="B416" s="52" t="str">
        <f t="shared" si="30"/>
        <v/>
      </c>
      <c r="C416" s="47" t="str">
        <f>IF(A416="","",IF(MOD(A416-1,12)=0,C415*(1+Perfil!$C$7),C415))</f>
        <v/>
      </c>
      <c r="D416" s="53" t="str">
        <f t="shared" si="32"/>
        <v/>
      </c>
      <c r="E416" s="54" t="str">
        <f t="shared" si="31"/>
        <v/>
      </c>
      <c r="F416" s="53" t="str">
        <f t="shared" si="33"/>
        <v/>
      </c>
      <c r="G416" s="53" t="str">
        <f t="shared" si="34"/>
        <v/>
      </c>
    </row>
    <row r="417" spans="1:7" ht="16.5">
      <c r="A417" s="51"/>
      <c r="B417" s="52" t="str">
        <f t="shared" si="30"/>
        <v/>
      </c>
      <c r="C417" s="47" t="str">
        <f>IF(A417="","",IF(MOD(A417-1,12)=0,C416*(1+Perfil!$C$7),C416))</f>
        <v/>
      </c>
      <c r="D417" s="53" t="str">
        <f t="shared" si="32"/>
        <v/>
      </c>
      <c r="E417" s="54" t="str">
        <f t="shared" si="31"/>
        <v/>
      </c>
      <c r="F417" s="53" t="str">
        <f t="shared" si="33"/>
        <v/>
      </c>
      <c r="G417" s="53" t="str">
        <f t="shared" si="34"/>
        <v/>
      </c>
    </row>
    <row r="418" spans="1:7" ht="16.5">
      <c r="A418" s="51"/>
      <c r="B418" s="52" t="str">
        <f t="shared" si="30"/>
        <v/>
      </c>
      <c r="C418" s="47" t="str">
        <f>IF(A418="","",IF(MOD(A418-1,12)=0,C417*(1+Perfil!$C$7),C417))</f>
        <v/>
      </c>
      <c r="D418" s="53" t="str">
        <f t="shared" si="32"/>
        <v/>
      </c>
      <c r="E418" s="54" t="str">
        <f t="shared" si="31"/>
        <v/>
      </c>
      <c r="F418" s="53" t="str">
        <f t="shared" si="33"/>
        <v/>
      </c>
      <c r="G418" s="53" t="str">
        <f t="shared" si="34"/>
        <v/>
      </c>
    </row>
    <row r="419" spans="1:7" ht="16.5">
      <c r="A419" s="51"/>
      <c r="B419" s="52" t="str">
        <f t="shared" si="30"/>
        <v/>
      </c>
      <c r="C419" s="47" t="str">
        <f>IF(A419="","",IF(MOD(A419-1,12)=0,C418*(1+Perfil!$C$7),C418))</f>
        <v/>
      </c>
      <c r="D419" s="53" t="str">
        <f t="shared" si="32"/>
        <v/>
      </c>
      <c r="E419" s="54" t="str">
        <f t="shared" si="31"/>
        <v/>
      </c>
      <c r="F419" s="53" t="str">
        <f t="shared" si="33"/>
        <v/>
      </c>
      <c r="G419" s="53" t="str">
        <f t="shared" si="34"/>
        <v/>
      </c>
    </row>
    <row r="420" spans="1:7" ht="16.5">
      <c r="A420" s="51"/>
      <c r="B420" s="52" t="str">
        <f t="shared" si="30"/>
        <v/>
      </c>
      <c r="C420" s="47" t="str">
        <f>IF(A420="","",IF(MOD(A420-1,12)=0,C419*(1+Perfil!$C$7),C419))</f>
        <v/>
      </c>
      <c r="D420" s="53" t="str">
        <f t="shared" si="32"/>
        <v/>
      </c>
      <c r="E420" s="54" t="str">
        <f t="shared" si="31"/>
        <v/>
      </c>
      <c r="F420" s="53" t="str">
        <f t="shared" si="33"/>
        <v/>
      </c>
      <c r="G420" s="53" t="str">
        <f t="shared" si="34"/>
        <v/>
      </c>
    </row>
    <row r="421" spans="1:7" ht="16.5">
      <c r="A421" s="51"/>
      <c r="B421" s="52" t="str">
        <f t="shared" si="30"/>
        <v/>
      </c>
      <c r="C421" s="47" t="str">
        <f>IF(A421="","",IF(MOD(A421-1,12)=0,C420*(1+Perfil!$C$7),C420))</f>
        <v/>
      </c>
      <c r="D421" s="53" t="str">
        <f t="shared" si="32"/>
        <v/>
      </c>
      <c r="E421" s="54" t="str">
        <f t="shared" si="31"/>
        <v/>
      </c>
      <c r="F421" s="53" t="str">
        <f t="shared" si="33"/>
        <v/>
      </c>
      <c r="G421" s="53" t="str">
        <f t="shared" si="34"/>
        <v/>
      </c>
    </row>
    <row r="422" spans="1:7" ht="16.5">
      <c r="A422" s="51"/>
      <c r="B422" s="52" t="str">
        <f t="shared" si="30"/>
        <v/>
      </c>
      <c r="C422" s="47" t="str">
        <f>IF(A422="","",IF(MOD(A422-1,12)=0,C421*(1+Perfil!$C$7),C421))</f>
        <v/>
      </c>
      <c r="D422" s="53" t="str">
        <f t="shared" si="32"/>
        <v/>
      </c>
      <c r="E422" s="54" t="str">
        <f t="shared" si="31"/>
        <v/>
      </c>
      <c r="F422" s="53" t="str">
        <f t="shared" si="33"/>
        <v/>
      </c>
      <c r="G422" s="53" t="str">
        <f t="shared" si="34"/>
        <v/>
      </c>
    </row>
    <row r="423" spans="1:7" ht="16.5">
      <c r="A423" s="51"/>
      <c r="B423" s="52" t="str">
        <f t="shared" si="30"/>
        <v/>
      </c>
      <c r="C423" s="47" t="str">
        <f>IF(A423="","",IF(MOD(A423-1,12)=0,C422*(1+Perfil!$C$7),C422))</f>
        <v/>
      </c>
      <c r="D423" s="53" t="str">
        <f t="shared" si="32"/>
        <v/>
      </c>
      <c r="E423" s="54" t="str">
        <f t="shared" si="31"/>
        <v/>
      </c>
      <c r="F423" s="53" t="str">
        <f t="shared" si="33"/>
        <v/>
      </c>
      <c r="G423" s="53" t="str">
        <f t="shared" si="34"/>
        <v/>
      </c>
    </row>
    <row r="424" spans="1:7" ht="16.5">
      <c r="A424" s="51"/>
      <c r="B424" s="52" t="str">
        <f t="shared" si="30"/>
        <v/>
      </c>
      <c r="C424" s="47" t="str">
        <f>IF(A424="","",IF(MOD(A424-1,12)=0,C423*(1+Perfil!$C$7),C423))</f>
        <v/>
      </c>
      <c r="D424" s="53" t="str">
        <f t="shared" si="32"/>
        <v/>
      </c>
      <c r="E424" s="54" t="str">
        <f t="shared" si="31"/>
        <v/>
      </c>
      <c r="F424" s="53" t="str">
        <f t="shared" si="33"/>
        <v/>
      </c>
      <c r="G424" s="53" t="str">
        <f t="shared" si="34"/>
        <v/>
      </c>
    </row>
    <row r="425" spans="1:7" ht="16.5">
      <c r="A425" s="51"/>
      <c r="B425" s="52" t="str">
        <f t="shared" si="30"/>
        <v/>
      </c>
      <c r="C425" s="47" t="str">
        <f>IF(A425="","",IF(MOD(A425-1,12)=0,C424*(1+Perfil!$C$7),C424))</f>
        <v/>
      </c>
      <c r="D425" s="53" t="str">
        <f t="shared" si="32"/>
        <v/>
      </c>
      <c r="E425" s="54" t="str">
        <f t="shared" si="31"/>
        <v/>
      </c>
      <c r="F425" s="53" t="str">
        <f t="shared" si="33"/>
        <v/>
      </c>
      <c r="G425" s="53" t="str">
        <f t="shared" si="34"/>
        <v/>
      </c>
    </row>
    <row r="426" spans="1:7" ht="16.5">
      <c r="A426" s="51"/>
      <c r="B426" s="52" t="str">
        <f t="shared" si="30"/>
        <v/>
      </c>
      <c r="C426" s="47" t="str">
        <f>IF(A426="","",IF(MOD(A426-1,12)=0,C425*(1+Perfil!$C$7),C425))</f>
        <v/>
      </c>
      <c r="D426" s="53" t="str">
        <f t="shared" si="32"/>
        <v/>
      </c>
      <c r="E426" s="54" t="str">
        <f t="shared" si="31"/>
        <v/>
      </c>
      <c r="F426" s="53" t="str">
        <f t="shared" si="33"/>
        <v/>
      </c>
      <c r="G426" s="53" t="str">
        <f t="shared" si="34"/>
        <v/>
      </c>
    </row>
    <row r="427" spans="1:7" ht="16.5">
      <c r="A427" s="51"/>
      <c r="B427" s="52" t="str">
        <f t="shared" si="30"/>
        <v/>
      </c>
      <c r="C427" s="47" t="str">
        <f>IF(A427="","",IF(MOD(A427-1,12)=0,C426*(1+Perfil!$C$7),C426))</f>
        <v/>
      </c>
      <c r="D427" s="53" t="str">
        <f t="shared" si="32"/>
        <v/>
      </c>
      <c r="E427" s="54" t="str">
        <f t="shared" si="31"/>
        <v/>
      </c>
      <c r="F427" s="53" t="str">
        <f t="shared" si="33"/>
        <v/>
      </c>
      <c r="G427" s="53" t="str">
        <f t="shared" si="34"/>
        <v/>
      </c>
    </row>
    <row r="428" spans="1:7" ht="16.5">
      <c r="A428" s="51"/>
      <c r="B428" s="52" t="str">
        <f t="shared" si="30"/>
        <v/>
      </c>
      <c r="C428" s="47" t="str">
        <f>IF(A428="","",IF(MOD(A428-1,12)=0,C427*(1+Perfil!$C$7),C427))</f>
        <v/>
      </c>
      <c r="D428" s="53" t="str">
        <f t="shared" si="32"/>
        <v/>
      </c>
      <c r="E428" s="54" t="str">
        <f t="shared" si="31"/>
        <v/>
      </c>
      <c r="F428" s="53" t="str">
        <f t="shared" si="33"/>
        <v/>
      </c>
      <c r="G428" s="53" t="str">
        <f t="shared" si="34"/>
        <v/>
      </c>
    </row>
    <row r="429" spans="1:7" ht="16.5">
      <c r="A429" s="51"/>
      <c r="B429" s="52" t="str">
        <f t="shared" si="30"/>
        <v/>
      </c>
      <c r="C429" s="47" t="str">
        <f>IF(A429="","",IF(MOD(A429-1,12)=0,C428*(1+Perfil!$C$7),C428))</f>
        <v/>
      </c>
      <c r="D429" s="53" t="str">
        <f t="shared" si="32"/>
        <v/>
      </c>
      <c r="E429" s="54" t="str">
        <f t="shared" si="31"/>
        <v/>
      </c>
      <c r="F429" s="53" t="str">
        <f t="shared" si="33"/>
        <v/>
      </c>
      <c r="G429" s="53" t="str">
        <f t="shared" si="34"/>
        <v/>
      </c>
    </row>
    <row r="430" spans="1:7" ht="16.5">
      <c r="A430" s="51"/>
      <c r="B430" s="52" t="str">
        <f t="shared" si="30"/>
        <v/>
      </c>
      <c r="C430" s="47" t="str">
        <f>IF(A430="","",IF(MOD(A430-1,12)=0,C429*(1+Perfil!$C$7),C429))</f>
        <v/>
      </c>
      <c r="D430" s="53" t="str">
        <f t="shared" si="32"/>
        <v/>
      </c>
      <c r="E430" s="54" t="str">
        <f t="shared" si="31"/>
        <v/>
      </c>
      <c r="F430" s="53" t="str">
        <f t="shared" si="33"/>
        <v/>
      </c>
      <c r="G430" s="53" t="str">
        <f t="shared" si="34"/>
        <v/>
      </c>
    </row>
    <row r="431" spans="1:7" ht="16.5">
      <c r="A431" s="51"/>
      <c r="B431" s="52" t="str">
        <f t="shared" si="30"/>
        <v/>
      </c>
      <c r="C431" s="47" t="str">
        <f>IF(A431="","",IF(MOD(A431-1,12)=0,C430*(1+Perfil!$C$7),C430))</f>
        <v/>
      </c>
      <c r="D431" s="53" t="str">
        <f t="shared" si="32"/>
        <v/>
      </c>
      <c r="E431" s="54" t="str">
        <f t="shared" si="31"/>
        <v/>
      </c>
      <c r="F431" s="53" t="str">
        <f t="shared" si="33"/>
        <v/>
      </c>
      <c r="G431" s="53" t="str">
        <f t="shared" si="34"/>
        <v/>
      </c>
    </row>
    <row r="432" spans="1:7" ht="16.5">
      <c r="A432" s="51"/>
      <c r="B432" s="52" t="str">
        <f t="shared" si="30"/>
        <v/>
      </c>
      <c r="C432" s="47" t="str">
        <f>IF(A432="","",IF(MOD(A432-1,12)=0,C431*(1+Perfil!$C$7),C431))</f>
        <v/>
      </c>
      <c r="D432" s="53" t="str">
        <f t="shared" si="32"/>
        <v/>
      </c>
      <c r="E432" s="54" t="str">
        <f t="shared" si="31"/>
        <v/>
      </c>
      <c r="F432" s="53" t="str">
        <f t="shared" si="33"/>
        <v/>
      </c>
      <c r="G432" s="53" t="str">
        <f t="shared" si="34"/>
        <v/>
      </c>
    </row>
    <row r="433" spans="1:7" ht="16.5">
      <c r="A433" s="51"/>
      <c r="B433" s="52" t="str">
        <f t="shared" si="30"/>
        <v/>
      </c>
      <c r="C433" s="47" t="str">
        <f>IF(A433="","",IF(MOD(A433-1,12)=0,C432*(1+Perfil!$C$7),C432))</f>
        <v/>
      </c>
      <c r="D433" s="53" t="str">
        <f t="shared" si="32"/>
        <v/>
      </c>
      <c r="E433" s="54" t="str">
        <f t="shared" si="31"/>
        <v/>
      </c>
      <c r="F433" s="53" t="str">
        <f t="shared" si="33"/>
        <v/>
      </c>
      <c r="G433" s="53" t="str">
        <f t="shared" si="34"/>
        <v/>
      </c>
    </row>
    <row r="434" spans="1:7" ht="16.5">
      <c r="A434" s="51"/>
      <c r="B434" s="52" t="str">
        <f t="shared" si="30"/>
        <v/>
      </c>
      <c r="C434" s="47" t="str">
        <f>IF(A434="","",IF(MOD(A434-1,12)=0,C433*(1+Perfil!$C$7),C433))</f>
        <v/>
      </c>
      <c r="D434" s="53" t="str">
        <f t="shared" si="32"/>
        <v/>
      </c>
      <c r="E434" s="54" t="str">
        <f t="shared" si="31"/>
        <v/>
      </c>
      <c r="F434" s="53" t="str">
        <f t="shared" si="33"/>
        <v/>
      </c>
      <c r="G434" s="53" t="str">
        <f t="shared" si="34"/>
        <v/>
      </c>
    </row>
    <row r="435" spans="1:7" ht="16.5">
      <c r="A435" s="51"/>
      <c r="B435" s="52" t="str">
        <f t="shared" si="30"/>
        <v/>
      </c>
      <c r="C435" s="47" t="str">
        <f>IF(A435="","",IF(MOD(A435-1,12)=0,C434*(1+Perfil!$C$7),C434))</f>
        <v/>
      </c>
      <c r="D435" s="53" t="str">
        <f t="shared" si="32"/>
        <v/>
      </c>
      <c r="E435" s="54" t="str">
        <f t="shared" si="31"/>
        <v/>
      </c>
      <c r="F435" s="53" t="str">
        <f t="shared" si="33"/>
        <v/>
      </c>
      <c r="G435" s="53" t="str">
        <f t="shared" si="34"/>
        <v/>
      </c>
    </row>
    <row r="436" spans="1:7" ht="16.5">
      <c r="A436" s="51"/>
      <c r="B436" s="52" t="str">
        <f t="shared" si="30"/>
        <v/>
      </c>
      <c r="C436" s="47" t="str">
        <f>IF(A436="","",IF(MOD(A436-1,12)=0,C435*(1+Perfil!$C$7),C435))</f>
        <v/>
      </c>
      <c r="D436" s="53" t="str">
        <f t="shared" si="32"/>
        <v/>
      </c>
      <c r="E436" s="54" t="str">
        <f t="shared" si="31"/>
        <v/>
      </c>
      <c r="F436" s="53" t="str">
        <f t="shared" si="33"/>
        <v/>
      </c>
      <c r="G436" s="53" t="str">
        <f t="shared" si="34"/>
        <v/>
      </c>
    </row>
    <row r="437" spans="1:7" ht="16.5">
      <c r="A437" s="51"/>
      <c r="B437" s="52" t="str">
        <f t="shared" si="30"/>
        <v/>
      </c>
      <c r="C437" s="47" t="str">
        <f>IF(A437="","",IF(MOD(A437-1,12)=0,C436*(1+Perfil!$C$7),C436))</f>
        <v/>
      </c>
      <c r="D437" s="53" t="str">
        <f t="shared" si="32"/>
        <v/>
      </c>
      <c r="E437" s="54" t="str">
        <f t="shared" si="31"/>
        <v/>
      </c>
      <c r="F437" s="53" t="str">
        <f t="shared" si="33"/>
        <v/>
      </c>
      <c r="G437" s="53" t="str">
        <f t="shared" si="34"/>
        <v/>
      </c>
    </row>
    <row r="438" spans="1:7" ht="16.5">
      <c r="A438" s="51"/>
      <c r="B438" s="52" t="str">
        <f t="shared" si="30"/>
        <v/>
      </c>
      <c r="C438" s="47" t="str">
        <f>IF(A438="","",IF(MOD(A438-1,12)=0,C437*(1+Perfil!$C$7),C437))</f>
        <v/>
      </c>
      <c r="D438" s="53" t="str">
        <f t="shared" si="32"/>
        <v/>
      </c>
      <c r="E438" s="54" t="str">
        <f t="shared" si="31"/>
        <v/>
      </c>
      <c r="F438" s="53" t="str">
        <f t="shared" si="33"/>
        <v/>
      </c>
      <c r="G438" s="53" t="str">
        <f t="shared" si="34"/>
        <v/>
      </c>
    </row>
    <row r="439" spans="1:7" ht="16.5">
      <c r="A439" s="51"/>
      <c r="B439" s="52" t="str">
        <f t="shared" si="30"/>
        <v/>
      </c>
      <c r="C439" s="47" t="str">
        <f>IF(A439="","",IF(MOD(A439-1,12)=0,C438*(1+Perfil!$C$7),C438))</f>
        <v/>
      </c>
      <c r="D439" s="53" t="str">
        <f t="shared" si="32"/>
        <v/>
      </c>
      <c r="E439" s="54" t="str">
        <f t="shared" si="31"/>
        <v/>
      </c>
      <c r="F439" s="53" t="str">
        <f t="shared" si="33"/>
        <v/>
      </c>
      <c r="G439" s="53" t="str">
        <f t="shared" si="34"/>
        <v/>
      </c>
    </row>
    <row r="440" spans="1:7" ht="16.5">
      <c r="A440" s="51"/>
      <c r="B440" s="52" t="str">
        <f t="shared" si="30"/>
        <v/>
      </c>
      <c r="C440" s="47" t="str">
        <f>IF(A440="","",IF(MOD(A440-1,12)=0,C439*(1+Perfil!$C$7),C439))</f>
        <v/>
      </c>
      <c r="D440" s="53" t="str">
        <f t="shared" si="32"/>
        <v/>
      </c>
      <c r="E440" s="54" t="str">
        <f t="shared" si="31"/>
        <v/>
      </c>
      <c r="F440" s="53" t="str">
        <f t="shared" si="33"/>
        <v/>
      </c>
      <c r="G440" s="53" t="str">
        <f t="shared" si="34"/>
        <v/>
      </c>
    </row>
    <row r="441" spans="1:7" ht="16.5">
      <c r="A441" s="51"/>
      <c r="B441" s="52" t="str">
        <f t="shared" si="30"/>
        <v/>
      </c>
      <c r="C441" s="47" t="str">
        <f>IF(A441="","",IF(MOD(A441-1,12)=0,C440*(1+Perfil!$C$7),C440))</f>
        <v/>
      </c>
      <c r="D441" s="53" t="str">
        <f t="shared" si="32"/>
        <v/>
      </c>
      <c r="E441" s="54" t="str">
        <f t="shared" si="31"/>
        <v/>
      </c>
      <c r="F441" s="53" t="str">
        <f t="shared" si="33"/>
        <v/>
      </c>
      <c r="G441" s="53" t="str">
        <f t="shared" si="34"/>
        <v/>
      </c>
    </row>
    <row r="442" spans="1:7" ht="16.5">
      <c r="A442" s="51"/>
      <c r="B442" s="52" t="str">
        <f t="shared" si="30"/>
        <v/>
      </c>
      <c r="C442" s="47" t="str">
        <f>IF(A442="","",IF(MOD(A442-1,12)=0,C441*(1+Perfil!$C$7),C441))</f>
        <v/>
      </c>
      <c r="D442" s="53" t="str">
        <f t="shared" si="32"/>
        <v/>
      </c>
      <c r="E442" s="54" t="str">
        <f t="shared" si="31"/>
        <v/>
      </c>
      <c r="F442" s="53" t="str">
        <f t="shared" si="33"/>
        <v/>
      </c>
      <c r="G442" s="53" t="str">
        <f t="shared" si="34"/>
        <v/>
      </c>
    </row>
    <row r="443" spans="1:7" ht="16.5">
      <c r="A443" s="51"/>
      <c r="B443" s="52" t="str">
        <f t="shared" si="30"/>
        <v/>
      </c>
      <c r="C443" s="47" t="str">
        <f>IF(A443="","",IF(MOD(A443-1,12)=0,C442*(1+Perfil!$C$7),C442))</f>
        <v/>
      </c>
      <c r="D443" s="53" t="str">
        <f t="shared" si="32"/>
        <v/>
      </c>
      <c r="E443" s="54" t="str">
        <f t="shared" si="31"/>
        <v/>
      </c>
      <c r="F443" s="53" t="str">
        <f t="shared" si="33"/>
        <v/>
      </c>
      <c r="G443" s="53" t="str">
        <f t="shared" si="34"/>
        <v/>
      </c>
    </row>
    <row r="444" spans="1:7" ht="16.5">
      <c r="A444" s="51"/>
      <c r="B444" s="52" t="str">
        <f t="shared" si="30"/>
        <v/>
      </c>
      <c r="C444" s="47" t="str">
        <f>IF(A444="","",IF(MOD(A444-1,12)=0,C443*(1+Perfil!$C$7),C443))</f>
        <v/>
      </c>
      <c r="D444" s="53" t="str">
        <f t="shared" si="32"/>
        <v/>
      </c>
      <c r="E444" s="54" t="str">
        <f t="shared" si="31"/>
        <v/>
      </c>
      <c r="F444" s="53" t="str">
        <f t="shared" si="33"/>
        <v/>
      </c>
      <c r="G444" s="53" t="str">
        <f t="shared" si="34"/>
        <v/>
      </c>
    </row>
    <row r="445" spans="1:7" ht="16.5">
      <c r="A445" s="51"/>
      <c r="B445" s="52" t="str">
        <f t="shared" ref="B445:B508" si="35">IF(A445="","",G444)</f>
        <v/>
      </c>
      <c r="C445" s="47" t="str">
        <f>IF(A445="","",IF(MOD(A445-1,12)=0,C444*(1+Perfil!$C$7),C444))</f>
        <v/>
      </c>
      <c r="D445" s="53" t="str">
        <f t="shared" si="32"/>
        <v/>
      </c>
      <c r="E445" s="54" t="str">
        <f t="shared" si="31"/>
        <v/>
      </c>
      <c r="F445" s="53" t="str">
        <f t="shared" si="33"/>
        <v/>
      </c>
      <c r="G445" s="53" t="str">
        <f t="shared" si="34"/>
        <v/>
      </c>
    </row>
    <row r="446" spans="1:7" ht="16.5">
      <c r="A446" s="51"/>
      <c r="B446" s="52" t="str">
        <f t="shared" si="35"/>
        <v/>
      </c>
      <c r="C446" s="47" t="str">
        <f>IF(A446="","",IF(MOD(A446-1,12)=0,C445*(1+Perfil!$C$7),C445))</f>
        <v/>
      </c>
      <c r="D446" s="53" t="str">
        <f t="shared" si="32"/>
        <v/>
      </c>
      <c r="E446" s="54" t="str">
        <f t="shared" si="31"/>
        <v/>
      </c>
      <c r="F446" s="53" t="str">
        <f t="shared" si="33"/>
        <v/>
      </c>
      <c r="G446" s="53" t="str">
        <f t="shared" si="34"/>
        <v/>
      </c>
    </row>
    <row r="447" spans="1:7" ht="16.5">
      <c r="A447" s="51"/>
      <c r="B447" s="52" t="str">
        <f t="shared" si="35"/>
        <v/>
      </c>
      <c r="C447" s="47" t="str">
        <f>IF(A447="","",IF(MOD(A447-1,12)=0,C446*(1+Perfil!$C$7),C446))</f>
        <v/>
      </c>
      <c r="D447" s="53" t="str">
        <f t="shared" si="32"/>
        <v/>
      </c>
      <c r="E447" s="54" t="str">
        <f t="shared" si="31"/>
        <v/>
      </c>
      <c r="F447" s="53" t="str">
        <f t="shared" si="33"/>
        <v/>
      </c>
      <c r="G447" s="53" t="str">
        <f t="shared" si="34"/>
        <v/>
      </c>
    </row>
    <row r="448" spans="1:7" ht="16.5">
      <c r="A448" s="51"/>
      <c r="B448" s="52" t="str">
        <f t="shared" si="35"/>
        <v/>
      </c>
      <c r="C448" s="47" t="str">
        <f>IF(A448="","",IF(MOD(A448-1,12)=0,C447*(1+Perfil!$C$7),C447))</f>
        <v/>
      </c>
      <c r="D448" s="53" t="str">
        <f t="shared" si="32"/>
        <v/>
      </c>
      <c r="E448" s="54" t="str">
        <f t="shared" si="31"/>
        <v/>
      </c>
      <c r="F448" s="53" t="str">
        <f t="shared" si="33"/>
        <v/>
      </c>
      <c r="G448" s="53" t="str">
        <f t="shared" si="34"/>
        <v/>
      </c>
    </row>
    <row r="449" spans="1:7" ht="16.5">
      <c r="A449" s="51"/>
      <c r="B449" s="52" t="str">
        <f t="shared" si="35"/>
        <v/>
      </c>
      <c r="C449" s="47" t="str">
        <f>IF(A449="","",IF(MOD(A449-1,12)=0,C448*(1+Perfil!$C$7),C448))</f>
        <v/>
      </c>
      <c r="D449" s="53" t="str">
        <f t="shared" si="32"/>
        <v/>
      </c>
      <c r="E449" s="54" t="str">
        <f t="shared" si="31"/>
        <v/>
      </c>
      <c r="F449" s="53" t="str">
        <f t="shared" si="33"/>
        <v/>
      </c>
      <c r="G449" s="53" t="str">
        <f t="shared" si="34"/>
        <v/>
      </c>
    </row>
    <row r="450" spans="1:7" ht="16.5">
      <c r="A450" s="51"/>
      <c r="B450" s="52" t="str">
        <f t="shared" si="35"/>
        <v/>
      </c>
      <c r="C450" s="47" t="str">
        <f>IF(A450="","",IF(MOD(A450-1,12)=0,C449*(1+Perfil!$C$7),C449))</f>
        <v/>
      </c>
      <c r="D450" s="53" t="str">
        <f t="shared" si="32"/>
        <v/>
      </c>
      <c r="E450" s="54" t="str">
        <f t="shared" si="31"/>
        <v/>
      </c>
      <c r="F450" s="53" t="str">
        <f t="shared" si="33"/>
        <v/>
      </c>
      <c r="G450" s="53" t="str">
        <f t="shared" si="34"/>
        <v/>
      </c>
    </row>
    <row r="451" spans="1:7" ht="16.5">
      <c r="A451" s="51"/>
      <c r="B451" s="52" t="str">
        <f t="shared" si="35"/>
        <v/>
      </c>
      <c r="C451" s="47" t="str">
        <f>IF(A451="","",IF(MOD(A451-1,12)=0,C450*(1+Perfil!$C$7),C450))</f>
        <v/>
      </c>
      <c r="D451" s="53" t="str">
        <f t="shared" si="32"/>
        <v/>
      </c>
      <c r="E451" s="54" t="str">
        <f t="shared" si="31"/>
        <v/>
      </c>
      <c r="F451" s="53" t="str">
        <f t="shared" si="33"/>
        <v/>
      </c>
      <c r="G451" s="53" t="str">
        <f t="shared" si="34"/>
        <v/>
      </c>
    </row>
    <row r="452" spans="1:7" ht="16.5">
      <c r="A452" s="51"/>
      <c r="B452" s="52" t="str">
        <f t="shared" si="35"/>
        <v/>
      </c>
      <c r="C452" s="47" t="str">
        <f>IF(A452="","",IF(MOD(A452-1,12)=0,C451*(1+Perfil!$C$7),C451))</f>
        <v/>
      </c>
      <c r="D452" s="53" t="str">
        <f t="shared" si="32"/>
        <v/>
      </c>
      <c r="E452" s="54" t="str">
        <f t="shared" si="31"/>
        <v/>
      </c>
      <c r="F452" s="53" t="str">
        <f t="shared" si="33"/>
        <v/>
      </c>
      <c r="G452" s="53" t="str">
        <f t="shared" si="34"/>
        <v/>
      </c>
    </row>
    <row r="453" spans="1:7" ht="16.5">
      <c r="A453" s="51"/>
      <c r="B453" s="52" t="str">
        <f t="shared" si="35"/>
        <v/>
      </c>
      <c r="C453" s="47" t="str">
        <f>IF(A453="","",IF(MOD(A453-1,12)=0,C452*(1+Perfil!$C$7),C452))</f>
        <v/>
      </c>
      <c r="D453" s="53" t="str">
        <f t="shared" si="32"/>
        <v/>
      </c>
      <c r="E453" s="54" t="str">
        <f t="shared" si="31"/>
        <v/>
      </c>
      <c r="F453" s="53" t="str">
        <f t="shared" si="33"/>
        <v/>
      </c>
      <c r="G453" s="53" t="str">
        <f t="shared" si="34"/>
        <v/>
      </c>
    </row>
    <row r="454" spans="1:7" ht="16.5">
      <c r="A454" s="51"/>
      <c r="B454" s="52" t="str">
        <f t="shared" si="35"/>
        <v/>
      </c>
      <c r="C454" s="47" t="str">
        <f>IF(A454="","",IF(MOD(A454-1,12)=0,C453*(1+Perfil!$C$7),C453))</f>
        <v/>
      </c>
      <c r="D454" s="53" t="str">
        <f t="shared" si="32"/>
        <v/>
      </c>
      <c r="E454" s="54" t="str">
        <f t="shared" si="31"/>
        <v/>
      </c>
      <c r="F454" s="53" t="str">
        <f t="shared" si="33"/>
        <v/>
      </c>
      <c r="G454" s="53" t="str">
        <f t="shared" si="34"/>
        <v/>
      </c>
    </row>
    <row r="455" spans="1:7" ht="16.5">
      <c r="A455" s="51"/>
      <c r="B455" s="52" t="str">
        <f t="shared" si="35"/>
        <v/>
      </c>
      <c r="C455" s="47" t="str">
        <f>IF(A455="","",IF(MOD(A455-1,12)=0,C454*(1+Perfil!$C$7),C454))</f>
        <v/>
      </c>
      <c r="D455" s="53" t="str">
        <f t="shared" si="32"/>
        <v/>
      </c>
      <c r="E455" s="54" t="str">
        <f t="shared" si="31"/>
        <v/>
      </c>
      <c r="F455" s="53" t="str">
        <f t="shared" si="33"/>
        <v/>
      </c>
      <c r="G455" s="53" t="str">
        <f t="shared" si="34"/>
        <v/>
      </c>
    </row>
    <row r="456" spans="1:7" ht="16.5">
      <c r="A456" s="51"/>
      <c r="B456" s="52" t="str">
        <f t="shared" si="35"/>
        <v/>
      </c>
      <c r="C456" s="47" t="str">
        <f>IF(A456="","",IF(MOD(A456-1,12)=0,C455*(1+Perfil!$C$7),C455))</f>
        <v/>
      </c>
      <c r="D456" s="53" t="str">
        <f t="shared" si="32"/>
        <v/>
      </c>
      <c r="E456" s="54" t="str">
        <f t="shared" si="31"/>
        <v/>
      </c>
      <c r="F456" s="53" t="str">
        <f t="shared" si="33"/>
        <v/>
      </c>
      <c r="G456" s="53" t="str">
        <f t="shared" si="34"/>
        <v/>
      </c>
    </row>
    <row r="457" spans="1:7" ht="16.5">
      <c r="A457" s="51"/>
      <c r="B457" s="52" t="str">
        <f t="shared" si="35"/>
        <v/>
      </c>
      <c r="C457" s="47" t="str">
        <f>IF(A457="","",IF(MOD(A457-1,12)=0,C456*(1+Perfil!$C$7),C456))</f>
        <v/>
      </c>
      <c r="D457" s="53" t="str">
        <f t="shared" si="32"/>
        <v/>
      </c>
      <c r="E457" s="54" t="str">
        <f t="shared" si="31"/>
        <v/>
      </c>
      <c r="F457" s="53" t="str">
        <f t="shared" si="33"/>
        <v/>
      </c>
      <c r="G457" s="53" t="str">
        <f t="shared" si="34"/>
        <v/>
      </c>
    </row>
    <row r="458" spans="1:7" ht="16.5">
      <c r="A458" s="51"/>
      <c r="B458" s="52" t="str">
        <f t="shared" si="35"/>
        <v/>
      </c>
      <c r="C458" s="47" t="str">
        <f>IF(A458="","",IF(MOD(A458-1,12)=0,C457*(1+Perfil!$C$7),C457))</f>
        <v/>
      </c>
      <c r="D458" s="53" t="str">
        <f t="shared" si="32"/>
        <v/>
      </c>
      <c r="E458" s="54" t="str">
        <f t="shared" si="31"/>
        <v/>
      </c>
      <c r="F458" s="53" t="str">
        <f t="shared" si="33"/>
        <v/>
      </c>
      <c r="G458" s="53" t="str">
        <f t="shared" si="34"/>
        <v/>
      </c>
    </row>
    <row r="459" spans="1:7" ht="16.5">
      <c r="A459" s="51"/>
      <c r="B459" s="52" t="str">
        <f t="shared" si="35"/>
        <v/>
      </c>
      <c r="C459" s="47" t="str">
        <f>IF(A459="","",IF(MOD(A459-1,12)=0,C458*(1+Perfil!$C$7),C458))</f>
        <v/>
      </c>
      <c r="D459" s="53" t="str">
        <f t="shared" si="32"/>
        <v/>
      </c>
      <c r="E459" s="54" t="str">
        <f t="shared" si="31"/>
        <v/>
      </c>
      <c r="F459" s="53" t="str">
        <f t="shared" si="33"/>
        <v/>
      </c>
      <c r="G459" s="53" t="str">
        <f t="shared" si="34"/>
        <v/>
      </c>
    </row>
    <row r="460" spans="1:7" ht="16.5">
      <c r="A460" s="51"/>
      <c r="B460" s="52" t="str">
        <f t="shared" si="35"/>
        <v/>
      </c>
      <c r="C460" s="47" t="str">
        <f>IF(A460="","",IF(MOD(A460-1,12)=0,C459*(1+Perfil!$C$7),C459))</f>
        <v/>
      </c>
      <c r="D460" s="53" t="str">
        <f t="shared" si="32"/>
        <v/>
      </c>
      <c r="E460" s="54" t="str">
        <f t="shared" si="31"/>
        <v/>
      </c>
      <c r="F460" s="53" t="str">
        <f t="shared" si="33"/>
        <v/>
      </c>
      <c r="G460" s="53" t="str">
        <f t="shared" si="34"/>
        <v/>
      </c>
    </row>
    <row r="461" spans="1:7" ht="16.5">
      <c r="A461" s="51"/>
      <c r="B461" s="52" t="str">
        <f t="shared" si="35"/>
        <v/>
      </c>
      <c r="C461" s="47" t="str">
        <f>IF(A461="","",IF(MOD(A461-1,12)=0,C460*(1+Perfil!$C$7),C460))</f>
        <v/>
      </c>
      <c r="D461" s="53" t="str">
        <f t="shared" si="32"/>
        <v/>
      </c>
      <c r="E461" s="54" t="str">
        <f t="shared" si="31"/>
        <v/>
      </c>
      <c r="F461" s="53" t="str">
        <f t="shared" si="33"/>
        <v/>
      </c>
      <c r="G461" s="53" t="str">
        <f t="shared" si="34"/>
        <v/>
      </c>
    </row>
    <row r="462" spans="1:7" ht="16.5">
      <c r="A462" s="51"/>
      <c r="B462" s="52" t="str">
        <f t="shared" si="35"/>
        <v/>
      </c>
      <c r="C462" s="47" t="str">
        <f>IF(A462="","",IF(MOD(A462-1,12)=0,C461*(1+Perfil!$C$7),C461))</f>
        <v/>
      </c>
      <c r="D462" s="53" t="str">
        <f t="shared" si="32"/>
        <v/>
      </c>
      <c r="E462" s="54" t="str">
        <f t="shared" si="31"/>
        <v/>
      </c>
      <c r="F462" s="53" t="str">
        <f t="shared" si="33"/>
        <v/>
      </c>
      <c r="G462" s="53" t="str">
        <f t="shared" si="34"/>
        <v/>
      </c>
    </row>
    <row r="463" spans="1:7" ht="16.5">
      <c r="A463" s="51"/>
      <c r="B463" s="52" t="str">
        <f t="shared" si="35"/>
        <v/>
      </c>
      <c r="C463" s="47" t="str">
        <f>IF(A463="","",IF(MOD(A463-1,12)=0,C462*(1+Perfil!$C$7),C462))</f>
        <v/>
      </c>
      <c r="D463" s="53" t="str">
        <f t="shared" si="32"/>
        <v/>
      </c>
      <c r="E463" s="54" t="str">
        <f t="shared" si="31"/>
        <v/>
      </c>
      <c r="F463" s="53" t="str">
        <f t="shared" si="33"/>
        <v/>
      </c>
      <c r="G463" s="53" t="str">
        <f t="shared" si="34"/>
        <v/>
      </c>
    </row>
    <row r="464" spans="1:7" ht="16.5">
      <c r="A464" s="51"/>
      <c r="B464" s="52" t="str">
        <f t="shared" si="35"/>
        <v/>
      </c>
      <c r="C464" s="47" t="str">
        <f>IF(A464="","",IF(MOD(A464-1,12)=0,C463*(1+Perfil!$C$7),C463))</f>
        <v/>
      </c>
      <c r="D464" s="53" t="str">
        <f t="shared" si="32"/>
        <v/>
      </c>
      <c r="E464" s="54" t="str">
        <f t="shared" si="31"/>
        <v/>
      </c>
      <c r="F464" s="53" t="str">
        <f t="shared" si="33"/>
        <v/>
      </c>
      <c r="G464" s="53" t="str">
        <f t="shared" si="34"/>
        <v/>
      </c>
    </row>
    <row r="465" spans="1:7" ht="16.5">
      <c r="A465" s="51"/>
      <c r="B465" s="52" t="str">
        <f t="shared" si="35"/>
        <v/>
      </c>
      <c r="C465" s="47" t="str">
        <f>IF(A465="","",IF(MOD(A465-1,12)=0,C464*(1+Perfil!$C$7),C464))</f>
        <v/>
      </c>
      <c r="D465" s="53" t="str">
        <f t="shared" si="32"/>
        <v/>
      </c>
      <c r="E465" s="54" t="str">
        <f t="shared" si="31"/>
        <v/>
      </c>
      <c r="F465" s="53" t="str">
        <f t="shared" si="33"/>
        <v/>
      </c>
      <c r="G465" s="53" t="str">
        <f t="shared" si="34"/>
        <v/>
      </c>
    </row>
    <row r="466" spans="1:7" ht="16.5">
      <c r="A466" s="51"/>
      <c r="B466" s="52" t="str">
        <f t="shared" si="35"/>
        <v/>
      </c>
      <c r="C466" s="47" t="str">
        <f>IF(A466="","",IF(MOD(A466-1,12)=0,C465*(1+Perfil!$C$7),C465))</f>
        <v/>
      </c>
      <c r="D466" s="53" t="str">
        <f t="shared" si="32"/>
        <v/>
      </c>
      <c r="E466" s="54" t="str">
        <f t="shared" si="31"/>
        <v/>
      </c>
      <c r="F466" s="53" t="str">
        <f t="shared" si="33"/>
        <v/>
      </c>
      <c r="G466" s="53" t="str">
        <f t="shared" si="34"/>
        <v/>
      </c>
    </row>
    <row r="467" spans="1:7" ht="16.5">
      <c r="A467" s="51"/>
      <c r="B467" s="52" t="str">
        <f t="shared" si="35"/>
        <v/>
      </c>
      <c r="C467" s="47" t="str">
        <f>IF(A467="","",IF(MOD(A467-1,12)=0,C466*(1+Perfil!$C$7),C466))</f>
        <v/>
      </c>
      <c r="D467" s="53" t="str">
        <f t="shared" si="32"/>
        <v/>
      </c>
      <c r="E467" s="54" t="str">
        <f t="shared" si="31"/>
        <v/>
      </c>
      <c r="F467" s="53" t="str">
        <f t="shared" si="33"/>
        <v/>
      </c>
      <c r="G467" s="53" t="str">
        <f t="shared" si="34"/>
        <v/>
      </c>
    </row>
    <row r="468" spans="1:7" ht="16.5">
      <c r="A468" s="51"/>
      <c r="B468" s="52" t="str">
        <f t="shared" si="35"/>
        <v/>
      </c>
      <c r="C468" s="47" t="str">
        <f>IF(A468="","",IF(MOD(A468-1,12)=0,C467*(1+Perfil!$C$7),C467))</f>
        <v/>
      </c>
      <c r="D468" s="53" t="str">
        <f t="shared" si="32"/>
        <v/>
      </c>
      <c r="E468" s="54" t="str">
        <f t="shared" si="31"/>
        <v/>
      </c>
      <c r="F468" s="53" t="str">
        <f t="shared" si="33"/>
        <v/>
      </c>
      <c r="G468" s="53" t="str">
        <f t="shared" si="34"/>
        <v/>
      </c>
    </row>
    <row r="469" spans="1:7" ht="16.5">
      <c r="A469" s="51"/>
      <c r="B469" s="52" t="str">
        <f t="shared" si="35"/>
        <v/>
      </c>
      <c r="C469" s="47" t="str">
        <f>IF(A469="","",IF(MOD(A469-1,12)=0,C468*(1+Perfil!$C$7),C468))</f>
        <v/>
      </c>
      <c r="D469" s="53" t="str">
        <f t="shared" si="32"/>
        <v/>
      </c>
      <c r="E469" s="54" t="str">
        <f t="shared" ref="E469:E532" si="36">IF(A469="","",$C$10)</f>
        <v/>
      </c>
      <c r="F469" s="53" t="str">
        <f t="shared" si="33"/>
        <v/>
      </c>
      <c r="G469" s="53" t="str">
        <f t="shared" si="34"/>
        <v/>
      </c>
    </row>
    <row r="470" spans="1:7" ht="16.5">
      <c r="A470" s="51"/>
      <c r="B470" s="52" t="str">
        <f t="shared" si="35"/>
        <v/>
      </c>
      <c r="C470" s="47" t="str">
        <f>IF(A470="","",IF(MOD(A470-1,12)=0,C469*(1+Perfil!$C$7),C469))</f>
        <v/>
      </c>
      <c r="D470" s="53" t="str">
        <f t="shared" ref="D470:D533" si="37">IF(A470="","",B470+C470)</f>
        <v/>
      </c>
      <c r="E470" s="54" t="str">
        <f t="shared" si="36"/>
        <v/>
      </c>
      <c r="F470" s="53" t="str">
        <f t="shared" ref="F470:F533" si="38">IF(A470="","",D470*E470)</f>
        <v/>
      </c>
      <c r="G470" s="53" t="str">
        <f t="shared" ref="G470:G533" si="39">IF(A470="","",D470+F470)</f>
        <v/>
      </c>
    </row>
    <row r="471" spans="1:7" ht="16.5">
      <c r="A471" s="51"/>
      <c r="B471" s="52" t="str">
        <f t="shared" si="35"/>
        <v/>
      </c>
      <c r="C471" s="47" t="str">
        <f>IF(A471="","",IF(MOD(A471-1,12)=0,C470*(1+Perfil!$C$7),C470))</f>
        <v/>
      </c>
      <c r="D471" s="53" t="str">
        <f t="shared" si="37"/>
        <v/>
      </c>
      <c r="E471" s="54" t="str">
        <f t="shared" si="36"/>
        <v/>
      </c>
      <c r="F471" s="53" t="str">
        <f t="shared" si="38"/>
        <v/>
      </c>
      <c r="G471" s="53" t="str">
        <f t="shared" si="39"/>
        <v/>
      </c>
    </row>
    <row r="472" spans="1:7" ht="16.5">
      <c r="A472" s="51"/>
      <c r="B472" s="52" t="str">
        <f t="shared" si="35"/>
        <v/>
      </c>
      <c r="C472" s="47" t="str">
        <f>IF(A472="","",IF(MOD(A472-1,12)=0,C471*(1+Perfil!$C$7),C471))</f>
        <v/>
      </c>
      <c r="D472" s="53" t="str">
        <f t="shared" si="37"/>
        <v/>
      </c>
      <c r="E472" s="54" t="str">
        <f t="shared" si="36"/>
        <v/>
      </c>
      <c r="F472" s="53" t="str">
        <f t="shared" si="38"/>
        <v/>
      </c>
      <c r="G472" s="53" t="str">
        <f t="shared" si="39"/>
        <v/>
      </c>
    </row>
    <row r="473" spans="1:7" ht="16.5">
      <c r="A473" s="51"/>
      <c r="B473" s="52" t="str">
        <f t="shared" si="35"/>
        <v/>
      </c>
      <c r="C473" s="47" t="str">
        <f>IF(A473="","",IF(MOD(A473-1,12)=0,C472*(1+Perfil!$C$7),C472))</f>
        <v/>
      </c>
      <c r="D473" s="53" t="str">
        <f t="shared" si="37"/>
        <v/>
      </c>
      <c r="E473" s="54" t="str">
        <f t="shared" si="36"/>
        <v/>
      </c>
      <c r="F473" s="53" t="str">
        <f t="shared" si="38"/>
        <v/>
      </c>
      <c r="G473" s="53" t="str">
        <f t="shared" si="39"/>
        <v/>
      </c>
    </row>
    <row r="474" spans="1:7" ht="16.5">
      <c r="A474" s="51"/>
      <c r="B474" s="52" t="str">
        <f t="shared" si="35"/>
        <v/>
      </c>
      <c r="C474" s="47" t="str">
        <f>IF(A474="","",IF(MOD(A474-1,12)=0,C473*(1+Perfil!$C$7),C473))</f>
        <v/>
      </c>
      <c r="D474" s="53" t="str">
        <f t="shared" si="37"/>
        <v/>
      </c>
      <c r="E474" s="54" t="str">
        <f t="shared" si="36"/>
        <v/>
      </c>
      <c r="F474" s="53" t="str">
        <f t="shared" si="38"/>
        <v/>
      </c>
      <c r="G474" s="53" t="str">
        <f t="shared" si="39"/>
        <v/>
      </c>
    </row>
    <row r="475" spans="1:7" ht="16.5">
      <c r="A475" s="51"/>
      <c r="B475" s="52" t="str">
        <f t="shared" si="35"/>
        <v/>
      </c>
      <c r="C475" s="47" t="str">
        <f>IF(A475="","",IF(MOD(A475-1,12)=0,C474*(1+Perfil!$C$7),C474))</f>
        <v/>
      </c>
      <c r="D475" s="53" t="str">
        <f t="shared" si="37"/>
        <v/>
      </c>
      <c r="E475" s="54" t="str">
        <f t="shared" si="36"/>
        <v/>
      </c>
      <c r="F475" s="53" t="str">
        <f t="shared" si="38"/>
        <v/>
      </c>
      <c r="G475" s="53" t="str">
        <f t="shared" si="39"/>
        <v/>
      </c>
    </row>
    <row r="476" spans="1:7" ht="16.5">
      <c r="A476" s="51"/>
      <c r="B476" s="52" t="str">
        <f t="shared" si="35"/>
        <v/>
      </c>
      <c r="C476" s="47" t="str">
        <f>IF(A476="","",IF(MOD(A476-1,12)=0,C475*(1+Perfil!$C$7),C475))</f>
        <v/>
      </c>
      <c r="D476" s="53" t="str">
        <f t="shared" si="37"/>
        <v/>
      </c>
      <c r="E476" s="54" t="str">
        <f t="shared" si="36"/>
        <v/>
      </c>
      <c r="F476" s="53" t="str">
        <f t="shared" si="38"/>
        <v/>
      </c>
      <c r="G476" s="53" t="str">
        <f t="shared" si="39"/>
        <v/>
      </c>
    </row>
    <row r="477" spans="1:7" ht="16.5">
      <c r="A477" s="51"/>
      <c r="B477" s="52" t="str">
        <f t="shared" si="35"/>
        <v/>
      </c>
      <c r="C477" s="47" t="str">
        <f>IF(A477="","",IF(MOD(A477-1,12)=0,C476*(1+Perfil!$C$7),C476))</f>
        <v/>
      </c>
      <c r="D477" s="53" t="str">
        <f t="shared" si="37"/>
        <v/>
      </c>
      <c r="E477" s="54" t="str">
        <f t="shared" si="36"/>
        <v/>
      </c>
      <c r="F477" s="53" t="str">
        <f t="shared" si="38"/>
        <v/>
      </c>
      <c r="G477" s="53" t="str">
        <f t="shared" si="39"/>
        <v/>
      </c>
    </row>
    <row r="478" spans="1:7" ht="16.5">
      <c r="A478" s="51"/>
      <c r="B478" s="52" t="str">
        <f t="shared" si="35"/>
        <v/>
      </c>
      <c r="C478" s="47" t="str">
        <f>IF(A478="","",IF(MOD(A478-1,12)=0,C477*(1+Perfil!$C$7),C477))</f>
        <v/>
      </c>
      <c r="D478" s="53" t="str">
        <f t="shared" si="37"/>
        <v/>
      </c>
      <c r="E478" s="54" t="str">
        <f t="shared" si="36"/>
        <v/>
      </c>
      <c r="F478" s="53" t="str">
        <f t="shared" si="38"/>
        <v/>
      </c>
      <c r="G478" s="53" t="str">
        <f t="shared" si="39"/>
        <v/>
      </c>
    </row>
    <row r="479" spans="1:7" ht="16.5">
      <c r="A479" s="51"/>
      <c r="B479" s="52" t="str">
        <f t="shared" si="35"/>
        <v/>
      </c>
      <c r="C479" s="47" t="str">
        <f>IF(A479="","",IF(MOD(A479-1,12)=0,C478*(1+Perfil!$C$7),C478))</f>
        <v/>
      </c>
      <c r="D479" s="53" t="str">
        <f t="shared" si="37"/>
        <v/>
      </c>
      <c r="E479" s="54" t="str">
        <f t="shared" si="36"/>
        <v/>
      </c>
      <c r="F479" s="53" t="str">
        <f t="shared" si="38"/>
        <v/>
      </c>
      <c r="G479" s="53" t="str">
        <f t="shared" si="39"/>
        <v/>
      </c>
    </row>
    <row r="480" spans="1:7" ht="16.5">
      <c r="A480" s="51"/>
      <c r="B480" s="52" t="str">
        <f t="shared" si="35"/>
        <v/>
      </c>
      <c r="C480" s="47" t="str">
        <f>IF(A480="","",IF(MOD(A480-1,12)=0,C479*(1+Perfil!$C$7),C479))</f>
        <v/>
      </c>
      <c r="D480" s="53" t="str">
        <f t="shared" si="37"/>
        <v/>
      </c>
      <c r="E480" s="54" t="str">
        <f t="shared" si="36"/>
        <v/>
      </c>
      <c r="F480" s="53" t="str">
        <f t="shared" si="38"/>
        <v/>
      </c>
      <c r="G480" s="53" t="str">
        <f t="shared" si="39"/>
        <v/>
      </c>
    </row>
    <row r="481" spans="1:7" ht="16.5">
      <c r="A481" s="51"/>
      <c r="B481" s="52" t="str">
        <f t="shared" si="35"/>
        <v/>
      </c>
      <c r="C481" s="47" t="str">
        <f>IF(A481="","",IF(MOD(A481-1,12)=0,C480*(1+Perfil!$C$7),C480))</f>
        <v/>
      </c>
      <c r="D481" s="53" t="str">
        <f t="shared" si="37"/>
        <v/>
      </c>
      <c r="E481" s="54" t="str">
        <f t="shared" si="36"/>
        <v/>
      </c>
      <c r="F481" s="53" t="str">
        <f t="shared" si="38"/>
        <v/>
      </c>
      <c r="G481" s="53" t="str">
        <f t="shared" si="39"/>
        <v/>
      </c>
    </row>
    <row r="482" spans="1:7" ht="16.5">
      <c r="A482" s="51"/>
      <c r="B482" s="52" t="str">
        <f t="shared" si="35"/>
        <v/>
      </c>
      <c r="C482" s="47" t="str">
        <f>IF(A482="","",IF(MOD(A482-1,12)=0,C481*(1+Perfil!$C$7),C481))</f>
        <v/>
      </c>
      <c r="D482" s="53" t="str">
        <f t="shared" si="37"/>
        <v/>
      </c>
      <c r="E482" s="54" t="str">
        <f t="shared" si="36"/>
        <v/>
      </c>
      <c r="F482" s="53" t="str">
        <f t="shared" si="38"/>
        <v/>
      </c>
      <c r="G482" s="53" t="str">
        <f t="shared" si="39"/>
        <v/>
      </c>
    </row>
    <row r="483" spans="1:7" ht="16.5">
      <c r="A483" s="51"/>
      <c r="B483" s="52" t="str">
        <f t="shared" si="35"/>
        <v/>
      </c>
      <c r="C483" s="47" t="str">
        <f>IF(A483="","",IF(MOD(A483-1,12)=0,C482*(1+Perfil!$C$7),C482))</f>
        <v/>
      </c>
      <c r="D483" s="53" t="str">
        <f t="shared" si="37"/>
        <v/>
      </c>
      <c r="E483" s="54" t="str">
        <f t="shared" si="36"/>
        <v/>
      </c>
      <c r="F483" s="53" t="str">
        <f t="shared" si="38"/>
        <v/>
      </c>
      <c r="G483" s="53" t="str">
        <f t="shared" si="39"/>
        <v/>
      </c>
    </row>
    <row r="484" spans="1:7" ht="16.5">
      <c r="A484" s="51"/>
      <c r="B484" s="52" t="str">
        <f t="shared" si="35"/>
        <v/>
      </c>
      <c r="C484" s="47" t="str">
        <f>IF(A484="","",IF(MOD(A484-1,12)=0,C483*(1+Perfil!$C$7),C483))</f>
        <v/>
      </c>
      <c r="D484" s="53" t="str">
        <f t="shared" si="37"/>
        <v/>
      </c>
      <c r="E484" s="54" t="str">
        <f t="shared" si="36"/>
        <v/>
      </c>
      <c r="F484" s="53" t="str">
        <f t="shared" si="38"/>
        <v/>
      </c>
      <c r="G484" s="53" t="str">
        <f t="shared" si="39"/>
        <v/>
      </c>
    </row>
    <row r="485" spans="1:7" ht="16.5">
      <c r="A485" s="51"/>
      <c r="B485" s="52" t="str">
        <f t="shared" si="35"/>
        <v/>
      </c>
      <c r="C485" s="47" t="str">
        <f>IF(A485="","",IF(MOD(A485-1,12)=0,C484*(1+Perfil!$C$7),C484))</f>
        <v/>
      </c>
      <c r="D485" s="53" t="str">
        <f t="shared" si="37"/>
        <v/>
      </c>
      <c r="E485" s="54" t="str">
        <f t="shared" si="36"/>
        <v/>
      </c>
      <c r="F485" s="53" t="str">
        <f t="shared" si="38"/>
        <v/>
      </c>
      <c r="G485" s="53" t="str">
        <f t="shared" si="39"/>
        <v/>
      </c>
    </row>
    <row r="486" spans="1:7" ht="16.5">
      <c r="A486" s="51"/>
      <c r="B486" s="52" t="str">
        <f t="shared" si="35"/>
        <v/>
      </c>
      <c r="C486" s="47" t="str">
        <f>IF(A486="","",IF(MOD(A486-1,12)=0,C485*(1+Perfil!$C$7),C485))</f>
        <v/>
      </c>
      <c r="D486" s="53" t="str">
        <f t="shared" si="37"/>
        <v/>
      </c>
      <c r="E486" s="54" t="str">
        <f t="shared" si="36"/>
        <v/>
      </c>
      <c r="F486" s="53" t="str">
        <f t="shared" si="38"/>
        <v/>
      </c>
      <c r="G486" s="53" t="str">
        <f t="shared" si="39"/>
        <v/>
      </c>
    </row>
    <row r="487" spans="1:7" ht="16.5">
      <c r="A487" s="51"/>
      <c r="B487" s="52" t="str">
        <f t="shared" si="35"/>
        <v/>
      </c>
      <c r="C487" s="47" t="str">
        <f>IF(A487="","",IF(MOD(A487-1,12)=0,C486*(1+Perfil!$C$7),C486))</f>
        <v/>
      </c>
      <c r="D487" s="53" t="str">
        <f t="shared" si="37"/>
        <v/>
      </c>
      <c r="E487" s="54" t="str">
        <f t="shared" si="36"/>
        <v/>
      </c>
      <c r="F487" s="53" t="str">
        <f t="shared" si="38"/>
        <v/>
      </c>
      <c r="G487" s="53" t="str">
        <f t="shared" si="39"/>
        <v/>
      </c>
    </row>
    <row r="488" spans="1:7" ht="16.5">
      <c r="A488" s="51"/>
      <c r="B488" s="52" t="str">
        <f t="shared" si="35"/>
        <v/>
      </c>
      <c r="C488" s="47" t="str">
        <f>IF(A488="","",IF(MOD(A488-1,12)=0,C487*(1+Perfil!$C$7),C487))</f>
        <v/>
      </c>
      <c r="D488" s="53" t="str">
        <f t="shared" si="37"/>
        <v/>
      </c>
      <c r="E488" s="54" t="str">
        <f t="shared" si="36"/>
        <v/>
      </c>
      <c r="F488" s="53" t="str">
        <f t="shared" si="38"/>
        <v/>
      </c>
      <c r="G488" s="53" t="str">
        <f t="shared" si="39"/>
        <v/>
      </c>
    </row>
    <row r="489" spans="1:7" ht="16.5">
      <c r="A489" s="51"/>
      <c r="B489" s="52" t="str">
        <f t="shared" si="35"/>
        <v/>
      </c>
      <c r="C489" s="47" t="str">
        <f>IF(A489="","",IF(MOD(A489-1,12)=0,C488*(1+Perfil!$C$7),C488))</f>
        <v/>
      </c>
      <c r="D489" s="53" t="str">
        <f t="shared" si="37"/>
        <v/>
      </c>
      <c r="E489" s="54" t="str">
        <f t="shared" si="36"/>
        <v/>
      </c>
      <c r="F489" s="53" t="str">
        <f t="shared" si="38"/>
        <v/>
      </c>
      <c r="G489" s="53" t="str">
        <f t="shared" si="39"/>
        <v/>
      </c>
    </row>
    <row r="490" spans="1:7" ht="16.5">
      <c r="A490" s="51"/>
      <c r="B490" s="52" t="str">
        <f t="shared" si="35"/>
        <v/>
      </c>
      <c r="C490" s="47" t="str">
        <f>IF(A490="","",IF(MOD(A490-1,12)=0,C489*(1+Perfil!$C$7),C489))</f>
        <v/>
      </c>
      <c r="D490" s="53" t="str">
        <f t="shared" si="37"/>
        <v/>
      </c>
      <c r="E490" s="54" t="str">
        <f t="shared" si="36"/>
        <v/>
      </c>
      <c r="F490" s="53" t="str">
        <f t="shared" si="38"/>
        <v/>
      </c>
      <c r="G490" s="53" t="str">
        <f t="shared" si="39"/>
        <v/>
      </c>
    </row>
    <row r="491" spans="1:7" ht="16.5">
      <c r="A491" s="51"/>
      <c r="B491" s="52" t="str">
        <f t="shared" si="35"/>
        <v/>
      </c>
      <c r="C491" s="47" t="str">
        <f>IF(A491="","",IF(MOD(A491-1,12)=0,C490*(1+Perfil!$C$7),C490))</f>
        <v/>
      </c>
      <c r="D491" s="53" t="str">
        <f t="shared" si="37"/>
        <v/>
      </c>
      <c r="E491" s="54" t="str">
        <f t="shared" si="36"/>
        <v/>
      </c>
      <c r="F491" s="53" t="str">
        <f t="shared" si="38"/>
        <v/>
      </c>
      <c r="G491" s="53" t="str">
        <f t="shared" si="39"/>
        <v/>
      </c>
    </row>
    <row r="492" spans="1:7" ht="16.5">
      <c r="A492" s="51"/>
      <c r="B492" s="52" t="str">
        <f t="shared" si="35"/>
        <v/>
      </c>
      <c r="C492" s="47" t="str">
        <f>IF(A492="","",IF(MOD(A492-1,12)=0,C491*(1+Perfil!$C$7),C491))</f>
        <v/>
      </c>
      <c r="D492" s="53" t="str">
        <f t="shared" si="37"/>
        <v/>
      </c>
      <c r="E492" s="54" t="str">
        <f t="shared" si="36"/>
        <v/>
      </c>
      <c r="F492" s="53" t="str">
        <f t="shared" si="38"/>
        <v/>
      </c>
      <c r="G492" s="53" t="str">
        <f t="shared" si="39"/>
        <v/>
      </c>
    </row>
    <row r="493" spans="1:7" ht="16.5">
      <c r="A493" s="51"/>
      <c r="B493" s="52" t="str">
        <f t="shared" si="35"/>
        <v/>
      </c>
      <c r="C493" s="47" t="str">
        <f>IF(A493="","",IF(MOD(A493-1,12)=0,C492*(1+Perfil!$C$7),C492))</f>
        <v/>
      </c>
      <c r="D493" s="53" t="str">
        <f t="shared" si="37"/>
        <v/>
      </c>
      <c r="E493" s="54" t="str">
        <f t="shared" si="36"/>
        <v/>
      </c>
      <c r="F493" s="53" t="str">
        <f t="shared" si="38"/>
        <v/>
      </c>
      <c r="G493" s="53" t="str">
        <f t="shared" si="39"/>
        <v/>
      </c>
    </row>
    <row r="494" spans="1:7" ht="16.5">
      <c r="A494" s="51"/>
      <c r="B494" s="52" t="str">
        <f t="shared" si="35"/>
        <v/>
      </c>
      <c r="C494" s="47" t="str">
        <f>IF(A494="","",IF(MOD(A494-1,12)=0,C493*(1+Perfil!$C$7),C493))</f>
        <v/>
      </c>
      <c r="D494" s="53" t="str">
        <f t="shared" si="37"/>
        <v/>
      </c>
      <c r="E494" s="54" t="str">
        <f t="shared" si="36"/>
        <v/>
      </c>
      <c r="F494" s="53" t="str">
        <f t="shared" si="38"/>
        <v/>
      </c>
      <c r="G494" s="53" t="str">
        <f t="shared" si="39"/>
        <v/>
      </c>
    </row>
    <row r="495" spans="1:7" ht="16.5">
      <c r="A495" s="51"/>
      <c r="B495" s="52" t="str">
        <f t="shared" si="35"/>
        <v/>
      </c>
      <c r="C495" s="47" t="str">
        <f>IF(A495="","",IF(MOD(A495-1,12)=0,C494*(1+Perfil!$C$7),C494))</f>
        <v/>
      </c>
      <c r="D495" s="53" t="str">
        <f t="shared" si="37"/>
        <v/>
      </c>
      <c r="E495" s="54" t="str">
        <f t="shared" si="36"/>
        <v/>
      </c>
      <c r="F495" s="53" t="str">
        <f t="shared" si="38"/>
        <v/>
      </c>
      <c r="G495" s="53" t="str">
        <f t="shared" si="39"/>
        <v/>
      </c>
    </row>
    <row r="496" spans="1:7" ht="16.5">
      <c r="A496" s="51"/>
      <c r="B496" s="52" t="str">
        <f t="shared" si="35"/>
        <v/>
      </c>
      <c r="C496" s="47" t="str">
        <f>IF(A496="","",IF(MOD(A496-1,12)=0,C495*(1+Perfil!$C$7),C495))</f>
        <v/>
      </c>
      <c r="D496" s="53" t="str">
        <f t="shared" si="37"/>
        <v/>
      </c>
      <c r="E496" s="54" t="str">
        <f t="shared" si="36"/>
        <v/>
      </c>
      <c r="F496" s="53" t="str">
        <f t="shared" si="38"/>
        <v/>
      </c>
      <c r="G496" s="53" t="str">
        <f t="shared" si="39"/>
        <v/>
      </c>
    </row>
    <row r="497" spans="1:7" ht="16.5">
      <c r="A497" s="51"/>
      <c r="B497" s="52" t="str">
        <f t="shared" si="35"/>
        <v/>
      </c>
      <c r="C497" s="47" t="str">
        <f>IF(A497="","",IF(MOD(A497-1,12)=0,C496*(1+Perfil!$C$7),C496))</f>
        <v/>
      </c>
      <c r="D497" s="53" t="str">
        <f t="shared" si="37"/>
        <v/>
      </c>
      <c r="E497" s="54" t="str">
        <f t="shared" si="36"/>
        <v/>
      </c>
      <c r="F497" s="53" t="str">
        <f t="shared" si="38"/>
        <v/>
      </c>
      <c r="G497" s="53" t="str">
        <f t="shared" si="39"/>
        <v/>
      </c>
    </row>
    <row r="498" spans="1:7" ht="16.5">
      <c r="A498" s="51"/>
      <c r="B498" s="52" t="str">
        <f t="shared" si="35"/>
        <v/>
      </c>
      <c r="C498" s="47" t="str">
        <f>IF(A498="","",IF(MOD(A498-1,12)=0,C497*(1+Perfil!$C$7),C497))</f>
        <v/>
      </c>
      <c r="D498" s="53" t="str">
        <f t="shared" si="37"/>
        <v/>
      </c>
      <c r="E498" s="54" t="str">
        <f t="shared" si="36"/>
        <v/>
      </c>
      <c r="F498" s="53" t="str">
        <f t="shared" si="38"/>
        <v/>
      </c>
      <c r="G498" s="53" t="str">
        <f t="shared" si="39"/>
        <v/>
      </c>
    </row>
    <row r="499" spans="1:7" ht="16.5">
      <c r="A499" s="51"/>
      <c r="B499" s="52" t="str">
        <f t="shared" si="35"/>
        <v/>
      </c>
      <c r="C499" s="47" t="str">
        <f>IF(A499="","",IF(MOD(A499-1,12)=0,C498*(1+Perfil!$C$7),C498))</f>
        <v/>
      </c>
      <c r="D499" s="53" t="str">
        <f t="shared" si="37"/>
        <v/>
      </c>
      <c r="E499" s="54" t="str">
        <f t="shared" si="36"/>
        <v/>
      </c>
      <c r="F499" s="53" t="str">
        <f t="shared" si="38"/>
        <v/>
      </c>
      <c r="G499" s="53" t="str">
        <f t="shared" si="39"/>
        <v/>
      </c>
    </row>
    <row r="500" spans="1:7" ht="16.5">
      <c r="A500" s="51"/>
      <c r="B500" s="52" t="str">
        <f t="shared" si="35"/>
        <v/>
      </c>
      <c r="C500" s="47" t="str">
        <f>IF(A500="","",IF(MOD(A500-1,12)=0,C499*(1+Perfil!$C$7),C499))</f>
        <v/>
      </c>
      <c r="D500" s="53" t="str">
        <f t="shared" si="37"/>
        <v/>
      </c>
      <c r="E500" s="54" t="str">
        <f t="shared" si="36"/>
        <v/>
      </c>
      <c r="F500" s="53" t="str">
        <f t="shared" si="38"/>
        <v/>
      </c>
      <c r="G500" s="53" t="str">
        <f t="shared" si="39"/>
        <v/>
      </c>
    </row>
    <row r="501" spans="1:7" ht="16.5">
      <c r="A501" s="51"/>
      <c r="B501" s="52" t="str">
        <f t="shared" si="35"/>
        <v/>
      </c>
      <c r="C501" s="47" t="str">
        <f>IF(A501="","",IF(MOD(A501-1,12)=0,C500*(1+Perfil!$C$7),C500))</f>
        <v/>
      </c>
      <c r="D501" s="53" t="str">
        <f t="shared" si="37"/>
        <v/>
      </c>
      <c r="E501" s="54" t="str">
        <f t="shared" si="36"/>
        <v/>
      </c>
      <c r="F501" s="53" t="str">
        <f t="shared" si="38"/>
        <v/>
      </c>
      <c r="G501" s="53" t="str">
        <f t="shared" si="39"/>
        <v/>
      </c>
    </row>
    <row r="502" spans="1:7" ht="16.5">
      <c r="A502" s="51"/>
      <c r="B502" s="52" t="str">
        <f t="shared" si="35"/>
        <v/>
      </c>
      <c r="C502" s="47" t="str">
        <f>IF(A502="","",IF(MOD(A502-1,12)=0,C501*(1+Perfil!$C$7),C501))</f>
        <v/>
      </c>
      <c r="D502" s="53" t="str">
        <f t="shared" si="37"/>
        <v/>
      </c>
      <c r="E502" s="54" t="str">
        <f t="shared" si="36"/>
        <v/>
      </c>
      <c r="F502" s="53" t="str">
        <f t="shared" si="38"/>
        <v/>
      </c>
      <c r="G502" s="53" t="str">
        <f t="shared" si="39"/>
        <v/>
      </c>
    </row>
    <row r="503" spans="1:7" ht="16.5">
      <c r="A503" s="51"/>
      <c r="B503" s="52" t="str">
        <f t="shared" si="35"/>
        <v/>
      </c>
      <c r="C503" s="47" t="str">
        <f>IF(A503="","",IF(MOD(A503-1,12)=0,C502*(1+Perfil!$C$7),C502))</f>
        <v/>
      </c>
      <c r="D503" s="53" t="str">
        <f t="shared" si="37"/>
        <v/>
      </c>
      <c r="E503" s="54" t="str">
        <f t="shared" si="36"/>
        <v/>
      </c>
      <c r="F503" s="53" t="str">
        <f t="shared" si="38"/>
        <v/>
      </c>
      <c r="G503" s="53" t="str">
        <f t="shared" si="39"/>
        <v/>
      </c>
    </row>
    <row r="504" spans="1:7" ht="16.5">
      <c r="A504" s="51"/>
      <c r="B504" s="52" t="str">
        <f t="shared" si="35"/>
        <v/>
      </c>
      <c r="C504" s="47" t="str">
        <f>IF(A504="","",IF(MOD(A504-1,12)=0,C503*(1+Perfil!$C$7),C503))</f>
        <v/>
      </c>
      <c r="D504" s="53" t="str">
        <f t="shared" si="37"/>
        <v/>
      </c>
      <c r="E504" s="54" t="str">
        <f t="shared" si="36"/>
        <v/>
      </c>
      <c r="F504" s="53" t="str">
        <f t="shared" si="38"/>
        <v/>
      </c>
      <c r="G504" s="53" t="str">
        <f t="shared" si="39"/>
        <v/>
      </c>
    </row>
    <row r="505" spans="1:7" ht="16.5">
      <c r="A505" s="51"/>
      <c r="B505" s="52" t="str">
        <f t="shared" si="35"/>
        <v/>
      </c>
      <c r="C505" s="47" t="str">
        <f>IF(A505="","",IF(MOD(A505-1,12)=0,C504*(1+Perfil!$C$7),C504))</f>
        <v/>
      </c>
      <c r="D505" s="53" t="str">
        <f t="shared" si="37"/>
        <v/>
      </c>
      <c r="E505" s="54" t="str">
        <f t="shared" si="36"/>
        <v/>
      </c>
      <c r="F505" s="53" t="str">
        <f t="shared" si="38"/>
        <v/>
      </c>
      <c r="G505" s="53" t="str">
        <f t="shared" si="39"/>
        <v/>
      </c>
    </row>
    <row r="506" spans="1:7" ht="16.5">
      <c r="A506" s="51"/>
      <c r="B506" s="52" t="str">
        <f t="shared" si="35"/>
        <v/>
      </c>
      <c r="C506" s="47" t="str">
        <f>IF(A506="","",IF(MOD(A506-1,12)=0,C505*(1+Perfil!$C$7),C505))</f>
        <v/>
      </c>
      <c r="D506" s="53" t="str">
        <f t="shared" si="37"/>
        <v/>
      </c>
      <c r="E506" s="54" t="str">
        <f t="shared" si="36"/>
        <v/>
      </c>
      <c r="F506" s="53" t="str">
        <f t="shared" si="38"/>
        <v/>
      </c>
      <c r="G506" s="53" t="str">
        <f t="shared" si="39"/>
        <v/>
      </c>
    </row>
    <row r="507" spans="1:7" ht="16.5">
      <c r="A507" s="51"/>
      <c r="B507" s="52" t="str">
        <f t="shared" si="35"/>
        <v/>
      </c>
      <c r="C507" s="47" t="str">
        <f>IF(A507="","",IF(MOD(A507-1,12)=0,C506*(1+Perfil!$C$7),C506))</f>
        <v/>
      </c>
      <c r="D507" s="53" t="str">
        <f t="shared" si="37"/>
        <v/>
      </c>
      <c r="E507" s="54" t="str">
        <f t="shared" si="36"/>
        <v/>
      </c>
      <c r="F507" s="53" t="str">
        <f t="shared" si="38"/>
        <v/>
      </c>
      <c r="G507" s="53" t="str">
        <f t="shared" si="39"/>
        <v/>
      </c>
    </row>
    <row r="508" spans="1:7" ht="16.5">
      <c r="A508" s="51"/>
      <c r="B508" s="52" t="str">
        <f t="shared" si="35"/>
        <v/>
      </c>
      <c r="C508" s="47" t="str">
        <f>IF(A508="","",IF(MOD(A508-1,12)=0,C507*(1+Perfil!$C$7),C507))</f>
        <v/>
      </c>
      <c r="D508" s="53" t="str">
        <f t="shared" si="37"/>
        <v/>
      </c>
      <c r="E508" s="54" t="str">
        <f t="shared" si="36"/>
        <v/>
      </c>
      <c r="F508" s="53" t="str">
        <f t="shared" si="38"/>
        <v/>
      </c>
      <c r="G508" s="53" t="str">
        <f t="shared" si="39"/>
        <v/>
      </c>
    </row>
    <row r="509" spans="1:7" ht="16.5">
      <c r="A509" s="51"/>
      <c r="B509" s="52" t="str">
        <f t="shared" ref="B509:B572" si="40">IF(A509="","",G508)</f>
        <v/>
      </c>
      <c r="C509" s="47" t="str">
        <f>IF(A509="","",IF(MOD(A509-1,12)=0,C508*(1+Perfil!$C$7),C508))</f>
        <v/>
      </c>
      <c r="D509" s="53" t="str">
        <f t="shared" si="37"/>
        <v/>
      </c>
      <c r="E509" s="54" t="str">
        <f t="shared" si="36"/>
        <v/>
      </c>
      <c r="F509" s="53" t="str">
        <f t="shared" si="38"/>
        <v/>
      </c>
      <c r="G509" s="53" t="str">
        <f t="shared" si="39"/>
        <v/>
      </c>
    </row>
    <row r="510" spans="1:7" ht="16.5">
      <c r="A510" s="51"/>
      <c r="B510" s="52" t="str">
        <f t="shared" si="40"/>
        <v/>
      </c>
      <c r="C510" s="47" t="str">
        <f>IF(A510="","",IF(MOD(A510-1,12)=0,C509*(1+Perfil!$C$7),C509))</f>
        <v/>
      </c>
      <c r="D510" s="53" t="str">
        <f t="shared" si="37"/>
        <v/>
      </c>
      <c r="E510" s="54" t="str">
        <f t="shared" si="36"/>
        <v/>
      </c>
      <c r="F510" s="53" t="str">
        <f t="shared" si="38"/>
        <v/>
      </c>
      <c r="G510" s="53" t="str">
        <f t="shared" si="39"/>
        <v/>
      </c>
    </row>
    <row r="511" spans="1:7" ht="16.5">
      <c r="A511" s="51"/>
      <c r="B511" s="52" t="str">
        <f t="shared" si="40"/>
        <v/>
      </c>
      <c r="C511" s="47" t="str">
        <f>IF(A511="","",IF(MOD(A511-1,12)=0,C510*(1+Perfil!$C$7),C510))</f>
        <v/>
      </c>
      <c r="D511" s="53" t="str">
        <f t="shared" si="37"/>
        <v/>
      </c>
      <c r="E511" s="54" t="str">
        <f t="shared" si="36"/>
        <v/>
      </c>
      <c r="F511" s="53" t="str">
        <f t="shared" si="38"/>
        <v/>
      </c>
      <c r="G511" s="53" t="str">
        <f t="shared" si="39"/>
        <v/>
      </c>
    </row>
    <row r="512" spans="1:7" ht="16.5">
      <c r="A512" s="51"/>
      <c r="B512" s="52" t="str">
        <f t="shared" si="40"/>
        <v/>
      </c>
      <c r="C512" s="47" t="str">
        <f>IF(A512="","",IF(MOD(A512-1,12)=0,C511*(1+Perfil!$C$7),C511))</f>
        <v/>
      </c>
      <c r="D512" s="53" t="str">
        <f t="shared" si="37"/>
        <v/>
      </c>
      <c r="E512" s="54" t="str">
        <f t="shared" si="36"/>
        <v/>
      </c>
      <c r="F512" s="53" t="str">
        <f t="shared" si="38"/>
        <v/>
      </c>
      <c r="G512" s="53" t="str">
        <f t="shared" si="39"/>
        <v/>
      </c>
    </row>
    <row r="513" spans="1:7" ht="16.5">
      <c r="A513" s="51"/>
      <c r="B513" s="52" t="str">
        <f t="shared" si="40"/>
        <v/>
      </c>
      <c r="C513" s="47" t="str">
        <f>IF(A513="","",IF(MOD(A513-1,12)=0,C512*(1+Perfil!$C$7),C512))</f>
        <v/>
      </c>
      <c r="D513" s="53" t="str">
        <f t="shared" si="37"/>
        <v/>
      </c>
      <c r="E513" s="54" t="str">
        <f t="shared" si="36"/>
        <v/>
      </c>
      <c r="F513" s="53" t="str">
        <f t="shared" si="38"/>
        <v/>
      </c>
      <c r="G513" s="53" t="str">
        <f t="shared" si="39"/>
        <v/>
      </c>
    </row>
    <row r="514" spans="1:7" ht="16.5">
      <c r="A514" s="51"/>
      <c r="B514" s="52" t="str">
        <f t="shared" si="40"/>
        <v/>
      </c>
      <c r="C514" s="47" t="str">
        <f>IF(A514="","",IF(MOD(A514-1,12)=0,C513*(1+Perfil!$C$7),C513))</f>
        <v/>
      </c>
      <c r="D514" s="53" t="str">
        <f t="shared" si="37"/>
        <v/>
      </c>
      <c r="E514" s="54" t="str">
        <f t="shared" si="36"/>
        <v/>
      </c>
      <c r="F514" s="53" t="str">
        <f t="shared" si="38"/>
        <v/>
      </c>
      <c r="G514" s="53" t="str">
        <f t="shared" si="39"/>
        <v/>
      </c>
    </row>
    <row r="515" spans="1:7" ht="16.5">
      <c r="A515" s="51"/>
      <c r="B515" s="52" t="str">
        <f t="shared" si="40"/>
        <v/>
      </c>
      <c r="C515" s="47" t="str">
        <f>IF(A515="","",IF(MOD(A515-1,12)=0,C514*(1+Perfil!$C$7),C514))</f>
        <v/>
      </c>
      <c r="D515" s="53" t="str">
        <f t="shared" si="37"/>
        <v/>
      </c>
      <c r="E515" s="54" t="str">
        <f t="shared" si="36"/>
        <v/>
      </c>
      <c r="F515" s="53" t="str">
        <f t="shared" si="38"/>
        <v/>
      </c>
      <c r="G515" s="53" t="str">
        <f t="shared" si="39"/>
        <v/>
      </c>
    </row>
    <row r="516" spans="1:7" ht="16.5">
      <c r="A516" s="51"/>
      <c r="B516" s="52" t="str">
        <f t="shared" si="40"/>
        <v/>
      </c>
      <c r="C516" s="47" t="str">
        <f>IF(A516="","",IF(MOD(A516-1,12)=0,C515*(1+Perfil!$C$7),C515))</f>
        <v/>
      </c>
      <c r="D516" s="53" t="str">
        <f t="shared" si="37"/>
        <v/>
      </c>
      <c r="E516" s="54" t="str">
        <f t="shared" si="36"/>
        <v/>
      </c>
      <c r="F516" s="53" t="str">
        <f t="shared" si="38"/>
        <v/>
      </c>
      <c r="G516" s="53" t="str">
        <f t="shared" si="39"/>
        <v/>
      </c>
    </row>
    <row r="517" spans="1:7" ht="16.5">
      <c r="A517" s="51"/>
      <c r="B517" s="52" t="str">
        <f t="shared" si="40"/>
        <v/>
      </c>
      <c r="C517" s="47" t="str">
        <f>IF(A517="","",IF(MOD(A517-1,12)=0,C516*(1+Perfil!$C$7),C516))</f>
        <v/>
      </c>
      <c r="D517" s="53" t="str">
        <f t="shared" si="37"/>
        <v/>
      </c>
      <c r="E517" s="54" t="str">
        <f t="shared" si="36"/>
        <v/>
      </c>
      <c r="F517" s="53" t="str">
        <f t="shared" si="38"/>
        <v/>
      </c>
      <c r="G517" s="53" t="str">
        <f t="shared" si="39"/>
        <v/>
      </c>
    </row>
    <row r="518" spans="1:7" ht="16.5">
      <c r="A518" s="51"/>
      <c r="B518" s="52" t="str">
        <f t="shared" si="40"/>
        <v/>
      </c>
      <c r="C518" s="47" t="str">
        <f>IF(A518="","",IF(MOD(A518-1,12)=0,C517*(1+Perfil!$C$7),C517))</f>
        <v/>
      </c>
      <c r="D518" s="53" t="str">
        <f t="shared" si="37"/>
        <v/>
      </c>
      <c r="E518" s="54" t="str">
        <f t="shared" si="36"/>
        <v/>
      </c>
      <c r="F518" s="53" t="str">
        <f t="shared" si="38"/>
        <v/>
      </c>
      <c r="G518" s="53" t="str">
        <f t="shared" si="39"/>
        <v/>
      </c>
    </row>
    <row r="519" spans="1:7" ht="16.5">
      <c r="A519" s="51"/>
      <c r="B519" s="52" t="str">
        <f t="shared" si="40"/>
        <v/>
      </c>
      <c r="C519" s="47" t="str">
        <f>IF(A519="","",IF(MOD(A519-1,12)=0,C518*(1+Perfil!$C$7),C518))</f>
        <v/>
      </c>
      <c r="D519" s="53" t="str">
        <f t="shared" si="37"/>
        <v/>
      </c>
      <c r="E519" s="54" t="str">
        <f t="shared" si="36"/>
        <v/>
      </c>
      <c r="F519" s="53" t="str">
        <f t="shared" si="38"/>
        <v/>
      </c>
      <c r="G519" s="53" t="str">
        <f t="shared" si="39"/>
        <v/>
      </c>
    </row>
    <row r="520" spans="1:7" ht="16.5">
      <c r="A520" s="51"/>
      <c r="B520" s="52" t="str">
        <f t="shared" si="40"/>
        <v/>
      </c>
      <c r="C520" s="47" t="str">
        <f>IF(A520="","",IF(MOD(A520-1,12)=0,C519*(1+Perfil!$C$7),C519))</f>
        <v/>
      </c>
      <c r="D520" s="53" t="str">
        <f t="shared" si="37"/>
        <v/>
      </c>
      <c r="E520" s="54" t="str">
        <f t="shared" si="36"/>
        <v/>
      </c>
      <c r="F520" s="53" t="str">
        <f t="shared" si="38"/>
        <v/>
      </c>
      <c r="G520" s="53" t="str">
        <f t="shared" si="39"/>
        <v/>
      </c>
    </row>
    <row r="521" spans="1:7" ht="16.5">
      <c r="A521" s="51"/>
      <c r="B521" s="52" t="str">
        <f t="shared" si="40"/>
        <v/>
      </c>
      <c r="C521" s="47" t="str">
        <f>IF(A521="","",IF(MOD(A521-1,12)=0,C520*(1+Perfil!$C$7),C520))</f>
        <v/>
      </c>
      <c r="D521" s="53" t="str">
        <f t="shared" si="37"/>
        <v/>
      </c>
      <c r="E521" s="54" t="str">
        <f t="shared" si="36"/>
        <v/>
      </c>
      <c r="F521" s="53" t="str">
        <f t="shared" si="38"/>
        <v/>
      </c>
      <c r="G521" s="53" t="str">
        <f t="shared" si="39"/>
        <v/>
      </c>
    </row>
    <row r="522" spans="1:7" ht="16.5">
      <c r="A522" s="51"/>
      <c r="B522" s="52" t="str">
        <f t="shared" si="40"/>
        <v/>
      </c>
      <c r="C522" s="47" t="str">
        <f>IF(A522="","",IF(MOD(A522-1,12)=0,C521*(1+Perfil!$C$7),C521))</f>
        <v/>
      </c>
      <c r="D522" s="53" t="str">
        <f t="shared" si="37"/>
        <v/>
      </c>
      <c r="E522" s="54" t="str">
        <f t="shared" si="36"/>
        <v/>
      </c>
      <c r="F522" s="53" t="str">
        <f t="shared" si="38"/>
        <v/>
      </c>
      <c r="G522" s="53" t="str">
        <f t="shared" si="39"/>
        <v/>
      </c>
    </row>
    <row r="523" spans="1:7" ht="16.5">
      <c r="A523" s="51"/>
      <c r="B523" s="52" t="str">
        <f t="shared" si="40"/>
        <v/>
      </c>
      <c r="C523" s="47" t="str">
        <f>IF(A523="","",IF(MOD(A523-1,12)=0,C522*(1+Perfil!$C$7),C522))</f>
        <v/>
      </c>
      <c r="D523" s="53" t="str">
        <f t="shared" si="37"/>
        <v/>
      </c>
      <c r="E523" s="54" t="str">
        <f t="shared" si="36"/>
        <v/>
      </c>
      <c r="F523" s="53" t="str">
        <f t="shared" si="38"/>
        <v/>
      </c>
      <c r="G523" s="53" t="str">
        <f t="shared" si="39"/>
        <v/>
      </c>
    </row>
    <row r="524" spans="1:7" ht="16.5">
      <c r="A524" s="51"/>
      <c r="B524" s="52" t="str">
        <f t="shared" si="40"/>
        <v/>
      </c>
      <c r="C524" s="47" t="str">
        <f>IF(A524="","",IF(MOD(A524-1,12)=0,C523*(1+Perfil!$C$7),C523))</f>
        <v/>
      </c>
      <c r="D524" s="53" t="str">
        <f t="shared" si="37"/>
        <v/>
      </c>
      <c r="E524" s="54" t="str">
        <f t="shared" si="36"/>
        <v/>
      </c>
      <c r="F524" s="53" t="str">
        <f t="shared" si="38"/>
        <v/>
      </c>
      <c r="G524" s="53" t="str">
        <f t="shared" si="39"/>
        <v/>
      </c>
    </row>
    <row r="525" spans="1:7" ht="16.5">
      <c r="A525" s="51"/>
      <c r="B525" s="52" t="str">
        <f t="shared" si="40"/>
        <v/>
      </c>
      <c r="C525" s="47" t="str">
        <f>IF(A525="","",IF(MOD(A525-1,12)=0,C524*(1+Perfil!$C$7),C524))</f>
        <v/>
      </c>
      <c r="D525" s="53" t="str">
        <f t="shared" si="37"/>
        <v/>
      </c>
      <c r="E525" s="54" t="str">
        <f t="shared" si="36"/>
        <v/>
      </c>
      <c r="F525" s="53" t="str">
        <f t="shared" si="38"/>
        <v/>
      </c>
      <c r="G525" s="53" t="str">
        <f t="shared" si="39"/>
        <v/>
      </c>
    </row>
    <row r="526" spans="1:7" ht="16.5">
      <c r="A526" s="51"/>
      <c r="B526" s="52" t="str">
        <f t="shared" si="40"/>
        <v/>
      </c>
      <c r="C526" s="47" t="str">
        <f>IF(A526="","",IF(MOD(A526-1,12)=0,C525*(1+Perfil!$C$7),C525))</f>
        <v/>
      </c>
      <c r="D526" s="53" t="str">
        <f t="shared" si="37"/>
        <v/>
      </c>
      <c r="E526" s="54" t="str">
        <f t="shared" si="36"/>
        <v/>
      </c>
      <c r="F526" s="53" t="str">
        <f t="shared" si="38"/>
        <v/>
      </c>
      <c r="G526" s="53" t="str">
        <f t="shared" si="39"/>
        <v/>
      </c>
    </row>
    <row r="527" spans="1:7" ht="16.5">
      <c r="A527" s="51"/>
      <c r="B527" s="52" t="str">
        <f t="shared" si="40"/>
        <v/>
      </c>
      <c r="C527" s="47" t="str">
        <f>IF(A527="","",IF(MOD(A527-1,12)=0,C526*(1+Perfil!$C$7),C526))</f>
        <v/>
      </c>
      <c r="D527" s="53" t="str">
        <f t="shared" si="37"/>
        <v/>
      </c>
      <c r="E527" s="54" t="str">
        <f t="shared" si="36"/>
        <v/>
      </c>
      <c r="F527" s="53" t="str">
        <f t="shared" si="38"/>
        <v/>
      </c>
      <c r="G527" s="53" t="str">
        <f t="shared" si="39"/>
        <v/>
      </c>
    </row>
    <row r="528" spans="1:7" ht="16.5">
      <c r="A528" s="51"/>
      <c r="B528" s="52" t="str">
        <f t="shared" si="40"/>
        <v/>
      </c>
      <c r="C528" s="47" t="str">
        <f>IF(A528="","",IF(MOD(A528-1,12)=0,C527*(1+Perfil!$C$7),C527))</f>
        <v/>
      </c>
      <c r="D528" s="53" t="str">
        <f t="shared" si="37"/>
        <v/>
      </c>
      <c r="E528" s="54" t="str">
        <f t="shared" si="36"/>
        <v/>
      </c>
      <c r="F528" s="53" t="str">
        <f t="shared" si="38"/>
        <v/>
      </c>
      <c r="G528" s="53" t="str">
        <f t="shared" si="39"/>
        <v/>
      </c>
    </row>
    <row r="529" spans="1:7" ht="16.5">
      <c r="A529" s="51"/>
      <c r="B529" s="52" t="str">
        <f t="shared" si="40"/>
        <v/>
      </c>
      <c r="C529" s="47" t="str">
        <f>IF(A529="","",IF(MOD(A529-1,12)=0,C528*(1+Perfil!$C$7),C528))</f>
        <v/>
      </c>
      <c r="D529" s="53" t="str">
        <f t="shared" si="37"/>
        <v/>
      </c>
      <c r="E529" s="54" t="str">
        <f t="shared" si="36"/>
        <v/>
      </c>
      <c r="F529" s="53" t="str">
        <f t="shared" si="38"/>
        <v/>
      </c>
      <c r="G529" s="53" t="str">
        <f t="shared" si="39"/>
        <v/>
      </c>
    </row>
    <row r="530" spans="1:7" ht="16.5">
      <c r="A530" s="51"/>
      <c r="B530" s="52" t="str">
        <f t="shared" si="40"/>
        <v/>
      </c>
      <c r="C530" s="47" t="str">
        <f>IF(A530="","",IF(MOD(A530-1,12)=0,C529*(1+Perfil!$C$7),C529))</f>
        <v/>
      </c>
      <c r="D530" s="53" t="str">
        <f t="shared" si="37"/>
        <v/>
      </c>
      <c r="E530" s="54" t="str">
        <f t="shared" si="36"/>
        <v/>
      </c>
      <c r="F530" s="53" t="str">
        <f t="shared" si="38"/>
        <v/>
      </c>
      <c r="G530" s="53" t="str">
        <f t="shared" si="39"/>
        <v/>
      </c>
    </row>
    <row r="531" spans="1:7" ht="16.5">
      <c r="A531" s="51"/>
      <c r="B531" s="52" t="str">
        <f t="shared" si="40"/>
        <v/>
      </c>
      <c r="C531" s="47" t="str">
        <f>IF(A531="","",IF(MOD(A531-1,12)=0,C530*(1+Perfil!$C$7),C530))</f>
        <v/>
      </c>
      <c r="D531" s="53" t="str">
        <f t="shared" si="37"/>
        <v/>
      </c>
      <c r="E531" s="54" t="str">
        <f t="shared" si="36"/>
        <v/>
      </c>
      <c r="F531" s="53" t="str">
        <f t="shared" si="38"/>
        <v/>
      </c>
      <c r="G531" s="53" t="str">
        <f t="shared" si="39"/>
        <v/>
      </c>
    </row>
    <row r="532" spans="1:7" ht="16.5">
      <c r="A532" s="51"/>
      <c r="B532" s="52" t="str">
        <f t="shared" si="40"/>
        <v/>
      </c>
      <c r="C532" s="47" t="str">
        <f>IF(A532="","",IF(MOD(A532-1,12)=0,C531*(1+Perfil!$C$7),C531))</f>
        <v/>
      </c>
      <c r="D532" s="53" t="str">
        <f t="shared" si="37"/>
        <v/>
      </c>
      <c r="E532" s="54" t="str">
        <f t="shared" si="36"/>
        <v/>
      </c>
      <c r="F532" s="53" t="str">
        <f t="shared" si="38"/>
        <v/>
      </c>
      <c r="G532" s="53" t="str">
        <f t="shared" si="39"/>
        <v/>
      </c>
    </row>
    <row r="533" spans="1:7" ht="16.5">
      <c r="A533" s="51"/>
      <c r="B533" s="52" t="str">
        <f t="shared" si="40"/>
        <v/>
      </c>
      <c r="C533" s="47" t="str">
        <f>IF(A533="","",IF(MOD(A533-1,12)=0,C532*(1+Perfil!$C$7),C532))</f>
        <v/>
      </c>
      <c r="D533" s="53" t="str">
        <f t="shared" si="37"/>
        <v/>
      </c>
      <c r="E533" s="54" t="str">
        <f t="shared" ref="E533:E596" si="41">IF(A533="","",$C$10)</f>
        <v/>
      </c>
      <c r="F533" s="53" t="str">
        <f t="shared" si="38"/>
        <v/>
      </c>
      <c r="G533" s="53" t="str">
        <f t="shared" si="39"/>
        <v/>
      </c>
    </row>
    <row r="534" spans="1:7" ht="16.5">
      <c r="A534" s="51"/>
      <c r="B534" s="52" t="str">
        <f t="shared" si="40"/>
        <v/>
      </c>
      <c r="C534" s="47" t="str">
        <f>IF(A534="","",IF(MOD(A534-1,12)=0,C533*(1+Perfil!$C$7),C533))</f>
        <v/>
      </c>
      <c r="D534" s="53" t="str">
        <f t="shared" ref="D534:D597" si="42">IF(A534="","",B534+C534)</f>
        <v/>
      </c>
      <c r="E534" s="54" t="str">
        <f t="shared" si="41"/>
        <v/>
      </c>
      <c r="F534" s="53" t="str">
        <f t="shared" ref="F534:F597" si="43">IF(A534="","",D534*E534)</f>
        <v/>
      </c>
      <c r="G534" s="53" t="str">
        <f t="shared" ref="G534:G597" si="44">IF(A534="","",D534+F534)</f>
        <v/>
      </c>
    </row>
    <row r="535" spans="1:7" ht="16.5">
      <c r="A535" s="51"/>
      <c r="B535" s="52" t="str">
        <f t="shared" si="40"/>
        <v/>
      </c>
      <c r="C535" s="47" t="str">
        <f>IF(A535="","",IF(MOD(A535-1,12)=0,C534*(1+Perfil!$C$7),C534))</f>
        <v/>
      </c>
      <c r="D535" s="53" t="str">
        <f t="shared" si="42"/>
        <v/>
      </c>
      <c r="E535" s="54" t="str">
        <f t="shared" si="41"/>
        <v/>
      </c>
      <c r="F535" s="53" t="str">
        <f t="shared" si="43"/>
        <v/>
      </c>
      <c r="G535" s="53" t="str">
        <f t="shared" si="44"/>
        <v/>
      </c>
    </row>
    <row r="536" spans="1:7" ht="16.5">
      <c r="A536" s="51"/>
      <c r="B536" s="52" t="str">
        <f t="shared" si="40"/>
        <v/>
      </c>
      <c r="C536" s="47" t="str">
        <f>IF(A536="","",IF(MOD(A536-1,12)=0,C535*(1+Perfil!$C$7),C535))</f>
        <v/>
      </c>
      <c r="D536" s="53" t="str">
        <f t="shared" si="42"/>
        <v/>
      </c>
      <c r="E536" s="54" t="str">
        <f t="shared" si="41"/>
        <v/>
      </c>
      <c r="F536" s="53" t="str">
        <f t="shared" si="43"/>
        <v/>
      </c>
      <c r="G536" s="53" t="str">
        <f t="shared" si="44"/>
        <v/>
      </c>
    </row>
    <row r="537" spans="1:7" ht="16.5">
      <c r="A537" s="51"/>
      <c r="B537" s="52" t="str">
        <f t="shared" si="40"/>
        <v/>
      </c>
      <c r="C537" s="47" t="str">
        <f>IF(A537="","",IF(MOD(A537-1,12)=0,C536*(1+Perfil!$C$7),C536))</f>
        <v/>
      </c>
      <c r="D537" s="53" t="str">
        <f t="shared" si="42"/>
        <v/>
      </c>
      <c r="E537" s="54" t="str">
        <f t="shared" si="41"/>
        <v/>
      </c>
      <c r="F537" s="53" t="str">
        <f t="shared" si="43"/>
        <v/>
      </c>
      <c r="G537" s="53" t="str">
        <f t="shared" si="44"/>
        <v/>
      </c>
    </row>
    <row r="538" spans="1:7" ht="16.5">
      <c r="A538" s="51"/>
      <c r="B538" s="52" t="str">
        <f t="shared" si="40"/>
        <v/>
      </c>
      <c r="C538" s="47" t="str">
        <f>IF(A538="","",IF(MOD(A538-1,12)=0,C537*(1+Perfil!$C$7),C537))</f>
        <v/>
      </c>
      <c r="D538" s="53" t="str">
        <f t="shared" si="42"/>
        <v/>
      </c>
      <c r="E538" s="54" t="str">
        <f t="shared" si="41"/>
        <v/>
      </c>
      <c r="F538" s="53" t="str">
        <f t="shared" si="43"/>
        <v/>
      </c>
      <c r="G538" s="53" t="str">
        <f t="shared" si="44"/>
        <v/>
      </c>
    </row>
    <row r="539" spans="1:7" ht="16.5">
      <c r="A539" s="51"/>
      <c r="B539" s="52" t="str">
        <f t="shared" si="40"/>
        <v/>
      </c>
      <c r="C539" s="47" t="str">
        <f>IF(A539="","",IF(MOD(A539-1,12)=0,C538*(1+Perfil!$C$7),C538))</f>
        <v/>
      </c>
      <c r="D539" s="53" t="str">
        <f t="shared" si="42"/>
        <v/>
      </c>
      <c r="E539" s="54" t="str">
        <f t="shared" si="41"/>
        <v/>
      </c>
      <c r="F539" s="53" t="str">
        <f t="shared" si="43"/>
        <v/>
      </c>
      <c r="G539" s="53" t="str">
        <f t="shared" si="44"/>
        <v/>
      </c>
    </row>
    <row r="540" spans="1:7" ht="16.5">
      <c r="A540" s="51"/>
      <c r="B540" s="52" t="str">
        <f t="shared" si="40"/>
        <v/>
      </c>
      <c r="C540" s="47" t="str">
        <f>IF(A540="","",IF(MOD(A540-1,12)=0,C539*(1+Perfil!$C$7),C539))</f>
        <v/>
      </c>
      <c r="D540" s="53" t="str">
        <f t="shared" si="42"/>
        <v/>
      </c>
      <c r="E540" s="54" t="str">
        <f t="shared" si="41"/>
        <v/>
      </c>
      <c r="F540" s="53" t="str">
        <f t="shared" si="43"/>
        <v/>
      </c>
      <c r="G540" s="53" t="str">
        <f t="shared" si="44"/>
        <v/>
      </c>
    </row>
    <row r="541" spans="1:7" ht="16.5">
      <c r="A541" s="51"/>
      <c r="B541" s="52" t="str">
        <f t="shared" si="40"/>
        <v/>
      </c>
      <c r="C541" s="47" t="str">
        <f>IF(A541="","",IF(MOD(A541-1,12)=0,C540*(1+Perfil!$C$7),C540))</f>
        <v/>
      </c>
      <c r="D541" s="53" t="str">
        <f t="shared" si="42"/>
        <v/>
      </c>
      <c r="E541" s="54" t="str">
        <f t="shared" si="41"/>
        <v/>
      </c>
      <c r="F541" s="53" t="str">
        <f t="shared" si="43"/>
        <v/>
      </c>
      <c r="G541" s="53" t="str">
        <f t="shared" si="44"/>
        <v/>
      </c>
    </row>
    <row r="542" spans="1:7" ht="16.5">
      <c r="A542" s="51"/>
      <c r="B542" s="52" t="str">
        <f t="shared" si="40"/>
        <v/>
      </c>
      <c r="C542" s="47" t="str">
        <f>IF(A542="","",IF(MOD(A542-1,12)=0,C541*(1+Perfil!$C$7),C541))</f>
        <v/>
      </c>
      <c r="D542" s="53" t="str">
        <f t="shared" si="42"/>
        <v/>
      </c>
      <c r="E542" s="54" t="str">
        <f t="shared" si="41"/>
        <v/>
      </c>
      <c r="F542" s="53" t="str">
        <f t="shared" si="43"/>
        <v/>
      </c>
      <c r="G542" s="53" t="str">
        <f t="shared" si="44"/>
        <v/>
      </c>
    </row>
    <row r="543" spans="1:7" ht="16.5">
      <c r="A543" s="51"/>
      <c r="B543" s="52" t="str">
        <f t="shared" si="40"/>
        <v/>
      </c>
      <c r="C543" s="47" t="str">
        <f>IF(A543="","",IF(MOD(A543-1,12)=0,C542*(1+Perfil!$C$7),C542))</f>
        <v/>
      </c>
      <c r="D543" s="53" t="str">
        <f t="shared" si="42"/>
        <v/>
      </c>
      <c r="E543" s="54" t="str">
        <f t="shared" si="41"/>
        <v/>
      </c>
      <c r="F543" s="53" t="str">
        <f t="shared" si="43"/>
        <v/>
      </c>
      <c r="G543" s="53" t="str">
        <f t="shared" si="44"/>
        <v/>
      </c>
    </row>
    <row r="544" spans="1:7" ht="16.5">
      <c r="A544" s="51"/>
      <c r="B544" s="52" t="str">
        <f t="shared" si="40"/>
        <v/>
      </c>
      <c r="C544" s="47" t="str">
        <f>IF(A544="","",IF(MOD(A544-1,12)=0,C543*(1+Perfil!$C$7),C543))</f>
        <v/>
      </c>
      <c r="D544" s="53" t="str">
        <f t="shared" si="42"/>
        <v/>
      </c>
      <c r="E544" s="54" t="str">
        <f t="shared" si="41"/>
        <v/>
      </c>
      <c r="F544" s="53" t="str">
        <f t="shared" si="43"/>
        <v/>
      </c>
      <c r="G544" s="53" t="str">
        <f t="shared" si="44"/>
        <v/>
      </c>
    </row>
    <row r="545" spans="1:7" ht="16.5">
      <c r="A545" s="51"/>
      <c r="B545" s="52" t="str">
        <f t="shared" si="40"/>
        <v/>
      </c>
      <c r="C545" s="47" t="str">
        <f>IF(A545="","",IF(MOD(A545-1,12)=0,C544*(1+Perfil!$C$7),C544))</f>
        <v/>
      </c>
      <c r="D545" s="53" t="str">
        <f t="shared" si="42"/>
        <v/>
      </c>
      <c r="E545" s="54" t="str">
        <f t="shared" si="41"/>
        <v/>
      </c>
      <c r="F545" s="53" t="str">
        <f t="shared" si="43"/>
        <v/>
      </c>
      <c r="G545" s="53" t="str">
        <f t="shared" si="44"/>
        <v/>
      </c>
    </row>
    <row r="546" spans="1:7" ht="16.5">
      <c r="A546" s="51"/>
      <c r="B546" s="52" t="str">
        <f t="shared" si="40"/>
        <v/>
      </c>
      <c r="C546" s="47" t="str">
        <f>IF(A546="","",IF(MOD(A546-1,12)=0,C545*(1+Perfil!$C$7),C545))</f>
        <v/>
      </c>
      <c r="D546" s="53" t="str">
        <f t="shared" si="42"/>
        <v/>
      </c>
      <c r="E546" s="54" t="str">
        <f t="shared" si="41"/>
        <v/>
      </c>
      <c r="F546" s="53" t="str">
        <f t="shared" si="43"/>
        <v/>
      </c>
      <c r="G546" s="53" t="str">
        <f t="shared" si="44"/>
        <v/>
      </c>
    </row>
    <row r="547" spans="1:7" ht="16.5">
      <c r="A547" s="51"/>
      <c r="B547" s="52" t="str">
        <f t="shared" si="40"/>
        <v/>
      </c>
      <c r="C547" s="47" t="str">
        <f>IF(A547="","",IF(MOD(A547-1,12)=0,C546*(1+Perfil!$C$7),C546))</f>
        <v/>
      </c>
      <c r="D547" s="53" t="str">
        <f t="shared" si="42"/>
        <v/>
      </c>
      <c r="E547" s="54" t="str">
        <f t="shared" si="41"/>
        <v/>
      </c>
      <c r="F547" s="53" t="str">
        <f t="shared" si="43"/>
        <v/>
      </c>
      <c r="G547" s="53" t="str">
        <f t="shared" si="44"/>
        <v/>
      </c>
    </row>
    <row r="548" spans="1:7" ht="16.5">
      <c r="A548" s="51"/>
      <c r="B548" s="52" t="str">
        <f t="shared" si="40"/>
        <v/>
      </c>
      <c r="C548" s="47" t="str">
        <f>IF(A548="","",IF(MOD(A548-1,12)=0,C547*(1+Perfil!$C$7),C547))</f>
        <v/>
      </c>
      <c r="D548" s="53" t="str">
        <f t="shared" si="42"/>
        <v/>
      </c>
      <c r="E548" s="54" t="str">
        <f t="shared" si="41"/>
        <v/>
      </c>
      <c r="F548" s="53" t="str">
        <f t="shared" si="43"/>
        <v/>
      </c>
      <c r="G548" s="53" t="str">
        <f t="shared" si="44"/>
        <v/>
      </c>
    </row>
    <row r="549" spans="1:7" ht="16.5">
      <c r="A549" s="51"/>
      <c r="B549" s="52" t="str">
        <f t="shared" si="40"/>
        <v/>
      </c>
      <c r="C549" s="47" t="str">
        <f>IF(A549="","",IF(MOD(A549-1,12)=0,C548*(1+Perfil!$C$7),C548))</f>
        <v/>
      </c>
      <c r="D549" s="53" t="str">
        <f t="shared" si="42"/>
        <v/>
      </c>
      <c r="E549" s="54" t="str">
        <f t="shared" si="41"/>
        <v/>
      </c>
      <c r="F549" s="53" t="str">
        <f t="shared" si="43"/>
        <v/>
      </c>
      <c r="G549" s="53" t="str">
        <f t="shared" si="44"/>
        <v/>
      </c>
    </row>
    <row r="550" spans="1:7" ht="16.5">
      <c r="A550" s="51"/>
      <c r="B550" s="52" t="str">
        <f t="shared" si="40"/>
        <v/>
      </c>
      <c r="C550" s="47" t="str">
        <f>IF(A550="","",IF(MOD(A550-1,12)=0,C549*(1+Perfil!$C$7),C549))</f>
        <v/>
      </c>
      <c r="D550" s="53" t="str">
        <f t="shared" si="42"/>
        <v/>
      </c>
      <c r="E550" s="54" t="str">
        <f t="shared" si="41"/>
        <v/>
      </c>
      <c r="F550" s="53" t="str">
        <f t="shared" si="43"/>
        <v/>
      </c>
      <c r="G550" s="53" t="str">
        <f t="shared" si="44"/>
        <v/>
      </c>
    </row>
    <row r="551" spans="1:7" ht="16.5">
      <c r="A551" s="51"/>
      <c r="B551" s="52" t="str">
        <f t="shared" si="40"/>
        <v/>
      </c>
      <c r="C551" s="47" t="str">
        <f>IF(A551="","",IF(MOD(A551-1,12)=0,C550*(1+Perfil!$C$7),C550))</f>
        <v/>
      </c>
      <c r="D551" s="53" t="str">
        <f t="shared" si="42"/>
        <v/>
      </c>
      <c r="E551" s="54" t="str">
        <f t="shared" si="41"/>
        <v/>
      </c>
      <c r="F551" s="53" t="str">
        <f t="shared" si="43"/>
        <v/>
      </c>
      <c r="G551" s="53" t="str">
        <f t="shared" si="44"/>
        <v/>
      </c>
    </row>
    <row r="552" spans="1:7" ht="16.5">
      <c r="A552" s="51"/>
      <c r="B552" s="52" t="str">
        <f t="shared" si="40"/>
        <v/>
      </c>
      <c r="C552" s="47" t="str">
        <f>IF(A552="","",IF(MOD(A552-1,12)=0,C551*(1+Perfil!$C$7),C551))</f>
        <v/>
      </c>
      <c r="D552" s="53" t="str">
        <f t="shared" si="42"/>
        <v/>
      </c>
      <c r="E552" s="54" t="str">
        <f t="shared" si="41"/>
        <v/>
      </c>
      <c r="F552" s="53" t="str">
        <f t="shared" si="43"/>
        <v/>
      </c>
      <c r="G552" s="53" t="str">
        <f t="shared" si="44"/>
        <v/>
      </c>
    </row>
    <row r="553" spans="1:7" ht="16.5">
      <c r="A553" s="51"/>
      <c r="B553" s="52" t="str">
        <f t="shared" si="40"/>
        <v/>
      </c>
      <c r="C553" s="47" t="str">
        <f>IF(A553="","",IF(MOD(A553-1,12)=0,C552*(1+Perfil!$C$7),C552))</f>
        <v/>
      </c>
      <c r="D553" s="53" t="str">
        <f t="shared" si="42"/>
        <v/>
      </c>
      <c r="E553" s="54" t="str">
        <f t="shared" si="41"/>
        <v/>
      </c>
      <c r="F553" s="53" t="str">
        <f t="shared" si="43"/>
        <v/>
      </c>
      <c r="G553" s="53" t="str">
        <f t="shared" si="44"/>
        <v/>
      </c>
    </row>
    <row r="554" spans="1:7" ht="16.5">
      <c r="A554" s="51"/>
      <c r="B554" s="52" t="str">
        <f t="shared" si="40"/>
        <v/>
      </c>
      <c r="C554" s="47" t="str">
        <f>IF(A554="","",IF(MOD(A554-1,12)=0,C553*(1+Perfil!$C$7),C553))</f>
        <v/>
      </c>
      <c r="D554" s="53" t="str">
        <f t="shared" si="42"/>
        <v/>
      </c>
      <c r="E554" s="54" t="str">
        <f t="shared" si="41"/>
        <v/>
      </c>
      <c r="F554" s="53" t="str">
        <f t="shared" si="43"/>
        <v/>
      </c>
      <c r="G554" s="53" t="str">
        <f t="shared" si="44"/>
        <v/>
      </c>
    </row>
    <row r="555" spans="1:7" ht="16.5">
      <c r="A555" s="51"/>
      <c r="B555" s="52" t="str">
        <f t="shared" si="40"/>
        <v/>
      </c>
      <c r="C555" s="47" t="str">
        <f>IF(A555="","",IF(MOD(A555-1,12)=0,C554*(1+Perfil!$C$7),C554))</f>
        <v/>
      </c>
      <c r="D555" s="53" t="str">
        <f t="shared" si="42"/>
        <v/>
      </c>
      <c r="E555" s="54" t="str">
        <f t="shared" si="41"/>
        <v/>
      </c>
      <c r="F555" s="53" t="str">
        <f t="shared" si="43"/>
        <v/>
      </c>
      <c r="G555" s="53" t="str">
        <f t="shared" si="44"/>
        <v/>
      </c>
    </row>
    <row r="556" spans="1:7" ht="16.5">
      <c r="A556" s="51"/>
      <c r="B556" s="52" t="str">
        <f t="shared" si="40"/>
        <v/>
      </c>
      <c r="C556" s="47" t="str">
        <f>IF(A556="","",IF(MOD(A556-1,12)=0,C555*(1+Perfil!$C$7),C555))</f>
        <v/>
      </c>
      <c r="D556" s="53" t="str">
        <f t="shared" si="42"/>
        <v/>
      </c>
      <c r="E556" s="54" t="str">
        <f t="shared" si="41"/>
        <v/>
      </c>
      <c r="F556" s="53" t="str">
        <f t="shared" si="43"/>
        <v/>
      </c>
      <c r="G556" s="53" t="str">
        <f t="shared" si="44"/>
        <v/>
      </c>
    </row>
    <row r="557" spans="1:7" ht="16.5">
      <c r="A557" s="51"/>
      <c r="B557" s="52" t="str">
        <f t="shared" si="40"/>
        <v/>
      </c>
      <c r="C557" s="47" t="str">
        <f>IF(A557="","",IF(MOD(A557-1,12)=0,C556*(1+Perfil!$C$7),C556))</f>
        <v/>
      </c>
      <c r="D557" s="53" t="str">
        <f t="shared" si="42"/>
        <v/>
      </c>
      <c r="E557" s="54" t="str">
        <f t="shared" si="41"/>
        <v/>
      </c>
      <c r="F557" s="53" t="str">
        <f t="shared" si="43"/>
        <v/>
      </c>
      <c r="G557" s="53" t="str">
        <f t="shared" si="44"/>
        <v/>
      </c>
    </row>
    <row r="558" spans="1:7" ht="16.5">
      <c r="A558" s="51"/>
      <c r="B558" s="52" t="str">
        <f t="shared" si="40"/>
        <v/>
      </c>
      <c r="C558" s="47" t="str">
        <f>IF(A558="","",IF(MOD(A558-1,12)=0,C557*(1+Perfil!$C$7),C557))</f>
        <v/>
      </c>
      <c r="D558" s="53" t="str">
        <f t="shared" si="42"/>
        <v/>
      </c>
      <c r="E558" s="54" t="str">
        <f t="shared" si="41"/>
        <v/>
      </c>
      <c r="F558" s="53" t="str">
        <f t="shared" si="43"/>
        <v/>
      </c>
      <c r="G558" s="53" t="str">
        <f t="shared" si="44"/>
        <v/>
      </c>
    </row>
    <row r="559" spans="1:7" ht="16.5">
      <c r="A559" s="51"/>
      <c r="B559" s="52" t="str">
        <f t="shared" si="40"/>
        <v/>
      </c>
      <c r="C559" s="47" t="str">
        <f>IF(A559="","",IF(MOD(A559-1,12)=0,C558*(1+Perfil!$C$7),C558))</f>
        <v/>
      </c>
      <c r="D559" s="53" t="str">
        <f t="shared" si="42"/>
        <v/>
      </c>
      <c r="E559" s="54" t="str">
        <f t="shared" si="41"/>
        <v/>
      </c>
      <c r="F559" s="53" t="str">
        <f t="shared" si="43"/>
        <v/>
      </c>
      <c r="G559" s="53" t="str">
        <f t="shared" si="44"/>
        <v/>
      </c>
    </row>
    <row r="560" spans="1:7" ht="16.5">
      <c r="A560" s="51"/>
      <c r="B560" s="52" t="str">
        <f t="shared" si="40"/>
        <v/>
      </c>
      <c r="C560" s="47" t="str">
        <f>IF(A560="","",IF(MOD(A560-1,12)=0,C559*(1+Perfil!$C$7),C559))</f>
        <v/>
      </c>
      <c r="D560" s="53" t="str">
        <f t="shared" si="42"/>
        <v/>
      </c>
      <c r="E560" s="54" t="str">
        <f t="shared" si="41"/>
        <v/>
      </c>
      <c r="F560" s="53" t="str">
        <f t="shared" si="43"/>
        <v/>
      </c>
      <c r="G560" s="53" t="str">
        <f t="shared" si="44"/>
        <v/>
      </c>
    </row>
    <row r="561" spans="1:7" ht="16.5">
      <c r="A561" s="51"/>
      <c r="B561" s="52" t="str">
        <f t="shared" si="40"/>
        <v/>
      </c>
      <c r="C561" s="47" t="str">
        <f>IF(A561="","",IF(MOD(A561-1,12)=0,C560*(1+Perfil!$C$7),C560))</f>
        <v/>
      </c>
      <c r="D561" s="53" t="str">
        <f t="shared" si="42"/>
        <v/>
      </c>
      <c r="E561" s="54" t="str">
        <f t="shared" si="41"/>
        <v/>
      </c>
      <c r="F561" s="53" t="str">
        <f t="shared" si="43"/>
        <v/>
      </c>
      <c r="G561" s="53" t="str">
        <f t="shared" si="44"/>
        <v/>
      </c>
    </row>
    <row r="562" spans="1:7" ht="16.5">
      <c r="A562" s="51"/>
      <c r="B562" s="52" t="str">
        <f t="shared" si="40"/>
        <v/>
      </c>
      <c r="C562" s="47" t="str">
        <f>IF(A562="","",IF(MOD(A562-1,12)=0,C561*(1+Perfil!$C$7),C561))</f>
        <v/>
      </c>
      <c r="D562" s="53" t="str">
        <f t="shared" si="42"/>
        <v/>
      </c>
      <c r="E562" s="54" t="str">
        <f t="shared" si="41"/>
        <v/>
      </c>
      <c r="F562" s="53" t="str">
        <f t="shared" si="43"/>
        <v/>
      </c>
      <c r="G562" s="53" t="str">
        <f t="shared" si="44"/>
        <v/>
      </c>
    </row>
    <row r="563" spans="1:7" ht="16.5">
      <c r="A563" s="51"/>
      <c r="B563" s="52" t="str">
        <f t="shared" si="40"/>
        <v/>
      </c>
      <c r="C563" s="47" t="str">
        <f>IF(A563="","",IF(MOD(A563-1,12)=0,C562*(1+Perfil!$C$7),C562))</f>
        <v/>
      </c>
      <c r="D563" s="53" t="str">
        <f t="shared" si="42"/>
        <v/>
      </c>
      <c r="E563" s="54" t="str">
        <f t="shared" si="41"/>
        <v/>
      </c>
      <c r="F563" s="53" t="str">
        <f t="shared" si="43"/>
        <v/>
      </c>
      <c r="G563" s="53" t="str">
        <f t="shared" si="44"/>
        <v/>
      </c>
    </row>
    <row r="564" spans="1:7" ht="16.5">
      <c r="A564" s="51"/>
      <c r="B564" s="52" t="str">
        <f t="shared" si="40"/>
        <v/>
      </c>
      <c r="C564" s="47" t="str">
        <f>IF(A564="","",IF(MOD(A564-1,12)=0,C563*(1+Perfil!$C$7),C563))</f>
        <v/>
      </c>
      <c r="D564" s="53" t="str">
        <f t="shared" si="42"/>
        <v/>
      </c>
      <c r="E564" s="54" t="str">
        <f t="shared" si="41"/>
        <v/>
      </c>
      <c r="F564" s="53" t="str">
        <f t="shared" si="43"/>
        <v/>
      </c>
      <c r="G564" s="53" t="str">
        <f t="shared" si="44"/>
        <v/>
      </c>
    </row>
    <row r="565" spans="1:7" ht="16.5">
      <c r="A565" s="51"/>
      <c r="B565" s="52" t="str">
        <f t="shared" si="40"/>
        <v/>
      </c>
      <c r="C565" s="47" t="str">
        <f>IF(A565="","",IF(MOD(A565-1,12)=0,C564*(1+Perfil!$C$7),C564))</f>
        <v/>
      </c>
      <c r="D565" s="53" t="str">
        <f t="shared" si="42"/>
        <v/>
      </c>
      <c r="E565" s="54" t="str">
        <f t="shared" si="41"/>
        <v/>
      </c>
      <c r="F565" s="53" t="str">
        <f t="shared" si="43"/>
        <v/>
      </c>
      <c r="G565" s="53" t="str">
        <f t="shared" si="44"/>
        <v/>
      </c>
    </row>
    <row r="566" spans="1:7" ht="16.5">
      <c r="A566" s="51"/>
      <c r="B566" s="52" t="str">
        <f t="shared" si="40"/>
        <v/>
      </c>
      <c r="C566" s="47" t="str">
        <f>IF(A566="","",IF(MOD(A566-1,12)=0,C565*(1+Perfil!$C$7),C565))</f>
        <v/>
      </c>
      <c r="D566" s="53" t="str">
        <f t="shared" si="42"/>
        <v/>
      </c>
      <c r="E566" s="54" t="str">
        <f t="shared" si="41"/>
        <v/>
      </c>
      <c r="F566" s="53" t="str">
        <f t="shared" si="43"/>
        <v/>
      </c>
      <c r="G566" s="53" t="str">
        <f t="shared" si="44"/>
        <v/>
      </c>
    </row>
    <row r="567" spans="1:7" ht="16.5">
      <c r="A567" s="51"/>
      <c r="B567" s="52" t="str">
        <f t="shared" si="40"/>
        <v/>
      </c>
      <c r="C567" s="47" t="str">
        <f>IF(A567="","",IF(MOD(A567-1,12)=0,C566*(1+Perfil!$C$7),C566))</f>
        <v/>
      </c>
      <c r="D567" s="53" t="str">
        <f t="shared" si="42"/>
        <v/>
      </c>
      <c r="E567" s="54" t="str">
        <f t="shared" si="41"/>
        <v/>
      </c>
      <c r="F567" s="53" t="str">
        <f t="shared" si="43"/>
        <v/>
      </c>
      <c r="G567" s="53" t="str">
        <f t="shared" si="44"/>
        <v/>
      </c>
    </row>
    <row r="568" spans="1:7" ht="16.5">
      <c r="A568" s="51"/>
      <c r="B568" s="52" t="str">
        <f t="shared" si="40"/>
        <v/>
      </c>
      <c r="C568" s="47" t="str">
        <f>IF(A568="","",IF(MOD(A568-1,12)=0,C567*(1+Perfil!$C$7),C567))</f>
        <v/>
      </c>
      <c r="D568" s="53" t="str">
        <f t="shared" si="42"/>
        <v/>
      </c>
      <c r="E568" s="54" t="str">
        <f t="shared" si="41"/>
        <v/>
      </c>
      <c r="F568" s="53" t="str">
        <f t="shared" si="43"/>
        <v/>
      </c>
      <c r="G568" s="53" t="str">
        <f t="shared" si="44"/>
        <v/>
      </c>
    </row>
    <row r="569" spans="1:7" ht="16.5">
      <c r="A569" s="51"/>
      <c r="B569" s="52" t="str">
        <f t="shared" si="40"/>
        <v/>
      </c>
      <c r="C569" s="47" t="str">
        <f>IF(A569="","",IF(MOD(A569-1,12)=0,C568*(1+Perfil!$C$7),C568))</f>
        <v/>
      </c>
      <c r="D569" s="53" t="str">
        <f t="shared" si="42"/>
        <v/>
      </c>
      <c r="E569" s="54" t="str">
        <f t="shared" si="41"/>
        <v/>
      </c>
      <c r="F569" s="53" t="str">
        <f t="shared" si="43"/>
        <v/>
      </c>
      <c r="G569" s="53" t="str">
        <f t="shared" si="44"/>
        <v/>
      </c>
    </row>
    <row r="570" spans="1:7" ht="16.5">
      <c r="A570" s="51"/>
      <c r="B570" s="52" t="str">
        <f t="shared" si="40"/>
        <v/>
      </c>
      <c r="C570" s="47" t="str">
        <f>IF(A570="","",IF(MOD(A570-1,12)=0,C569*(1+Perfil!$C$7),C569))</f>
        <v/>
      </c>
      <c r="D570" s="53" t="str">
        <f t="shared" si="42"/>
        <v/>
      </c>
      <c r="E570" s="54" t="str">
        <f t="shared" si="41"/>
        <v/>
      </c>
      <c r="F570" s="53" t="str">
        <f t="shared" si="43"/>
        <v/>
      </c>
      <c r="G570" s="53" t="str">
        <f t="shared" si="44"/>
        <v/>
      </c>
    </row>
    <row r="571" spans="1:7" ht="16.5">
      <c r="A571" s="51"/>
      <c r="B571" s="52" t="str">
        <f t="shared" si="40"/>
        <v/>
      </c>
      <c r="C571" s="47" t="str">
        <f>IF(A571="","",IF(MOD(A571-1,12)=0,C570*(1+Perfil!$C$7),C570))</f>
        <v/>
      </c>
      <c r="D571" s="53" t="str">
        <f t="shared" si="42"/>
        <v/>
      </c>
      <c r="E571" s="54" t="str">
        <f t="shared" si="41"/>
        <v/>
      </c>
      <c r="F571" s="53" t="str">
        <f t="shared" si="43"/>
        <v/>
      </c>
      <c r="G571" s="53" t="str">
        <f t="shared" si="44"/>
        <v/>
      </c>
    </row>
    <row r="572" spans="1:7" ht="16.5">
      <c r="A572" s="51"/>
      <c r="B572" s="52" t="str">
        <f t="shared" si="40"/>
        <v/>
      </c>
      <c r="C572" s="47" t="str">
        <f>IF(A572="","",IF(MOD(A572-1,12)=0,C571*(1+Perfil!$C$7),C571))</f>
        <v/>
      </c>
      <c r="D572" s="53" t="str">
        <f t="shared" si="42"/>
        <v/>
      </c>
      <c r="E572" s="54" t="str">
        <f t="shared" si="41"/>
        <v/>
      </c>
      <c r="F572" s="53" t="str">
        <f t="shared" si="43"/>
        <v/>
      </c>
      <c r="G572" s="53" t="str">
        <f t="shared" si="44"/>
        <v/>
      </c>
    </row>
    <row r="573" spans="1:7" ht="16.5">
      <c r="A573" s="51"/>
      <c r="B573" s="52" t="str">
        <f t="shared" ref="B573:B619" si="45">IF(A573="","",G572)</f>
        <v/>
      </c>
      <c r="C573" s="47" t="str">
        <f>IF(A573="","",IF(MOD(A573-1,12)=0,C572*(1+Perfil!$C$7),C572))</f>
        <v/>
      </c>
      <c r="D573" s="53" t="str">
        <f t="shared" si="42"/>
        <v/>
      </c>
      <c r="E573" s="54" t="str">
        <f t="shared" si="41"/>
        <v/>
      </c>
      <c r="F573" s="53" t="str">
        <f t="shared" si="43"/>
        <v/>
      </c>
      <c r="G573" s="53" t="str">
        <f t="shared" si="44"/>
        <v/>
      </c>
    </row>
    <row r="574" spans="1:7" ht="16.5">
      <c r="A574" s="51"/>
      <c r="B574" s="52" t="str">
        <f t="shared" si="45"/>
        <v/>
      </c>
      <c r="C574" s="47" t="str">
        <f>IF(A574="","",IF(MOD(A574-1,12)=0,C573*(1+Perfil!$C$7),C573))</f>
        <v/>
      </c>
      <c r="D574" s="53" t="str">
        <f t="shared" si="42"/>
        <v/>
      </c>
      <c r="E574" s="54" t="str">
        <f t="shared" si="41"/>
        <v/>
      </c>
      <c r="F574" s="53" t="str">
        <f t="shared" si="43"/>
        <v/>
      </c>
      <c r="G574" s="53" t="str">
        <f t="shared" si="44"/>
        <v/>
      </c>
    </row>
    <row r="575" spans="1:7" ht="16.5">
      <c r="A575" s="51"/>
      <c r="B575" s="52" t="str">
        <f t="shared" si="45"/>
        <v/>
      </c>
      <c r="C575" s="47" t="str">
        <f>IF(A575="","",IF(MOD(A575-1,12)=0,C574*(1+Perfil!$C$7),C574))</f>
        <v/>
      </c>
      <c r="D575" s="53" t="str">
        <f t="shared" si="42"/>
        <v/>
      </c>
      <c r="E575" s="54" t="str">
        <f t="shared" si="41"/>
        <v/>
      </c>
      <c r="F575" s="53" t="str">
        <f t="shared" si="43"/>
        <v/>
      </c>
      <c r="G575" s="53" t="str">
        <f t="shared" si="44"/>
        <v/>
      </c>
    </row>
    <row r="576" spans="1:7" ht="16.5">
      <c r="A576" s="51"/>
      <c r="B576" s="52" t="str">
        <f t="shared" si="45"/>
        <v/>
      </c>
      <c r="C576" s="47" t="str">
        <f>IF(A576="","",IF(MOD(A576-1,12)=0,C575*(1+Perfil!$C$7),C575))</f>
        <v/>
      </c>
      <c r="D576" s="53" t="str">
        <f t="shared" si="42"/>
        <v/>
      </c>
      <c r="E576" s="54" t="str">
        <f t="shared" si="41"/>
        <v/>
      </c>
      <c r="F576" s="53" t="str">
        <f t="shared" si="43"/>
        <v/>
      </c>
      <c r="G576" s="53" t="str">
        <f t="shared" si="44"/>
        <v/>
      </c>
    </row>
    <row r="577" spans="1:7" ht="16.5">
      <c r="A577" s="51"/>
      <c r="B577" s="52" t="str">
        <f t="shared" si="45"/>
        <v/>
      </c>
      <c r="C577" s="47" t="str">
        <f>IF(A577="","",IF(MOD(A577-1,12)=0,C576*(1+Perfil!$C$7),C576))</f>
        <v/>
      </c>
      <c r="D577" s="53" t="str">
        <f t="shared" si="42"/>
        <v/>
      </c>
      <c r="E577" s="54" t="str">
        <f t="shared" si="41"/>
        <v/>
      </c>
      <c r="F577" s="53" t="str">
        <f t="shared" si="43"/>
        <v/>
      </c>
      <c r="G577" s="53" t="str">
        <f t="shared" si="44"/>
        <v/>
      </c>
    </row>
    <row r="578" spans="1:7" ht="16.5">
      <c r="A578" s="51"/>
      <c r="B578" s="52" t="str">
        <f t="shared" si="45"/>
        <v/>
      </c>
      <c r="C578" s="47" t="str">
        <f>IF(A578="","",IF(MOD(A578-1,12)=0,C577*(1+Perfil!$C$7),C577))</f>
        <v/>
      </c>
      <c r="D578" s="53" t="str">
        <f t="shared" si="42"/>
        <v/>
      </c>
      <c r="E578" s="54" t="str">
        <f t="shared" si="41"/>
        <v/>
      </c>
      <c r="F578" s="53" t="str">
        <f t="shared" si="43"/>
        <v/>
      </c>
      <c r="G578" s="53" t="str">
        <f t="shared" si="44"/>
        <v/>
      </c>
    </row>
    <row r="579" spans="1:7" ht="16.5">
      <c r="A579" s="51"/>
      <c r="B579" s="52" t="str">
        <f t="shared" si="45"/>
        <v/>
      </c>
      <c r="C579" s="47" t="str">
        <f>IF(A579="","",IF(MOD(A579-1,12)=0,C578*(1+Perfil!$C$7),C578))</f>
        <v/>
      </c>
      <c r="D579" s="53" t="str">
        <f t="shared" si="42"/>
        <v/>
      </c>
      <c r="E579" s="54" t="str">
        <f t="shared" si="41"/>
        <v/>
      </c>
      <c r="F579" s="53" t="str">
        <f t="shared" si="43"/>
        <v/>
      </c>
      <c r="G579" s="53" t="str">
        <f t="shared" si="44"/>
        <v/>
      </c>
    </row>
    <row r="580" spans="1:7" ht="16.5">
      <c r="A580" s="51"/>
      <c r="B580" s="52" t="str">
        <f t="shared" si="45"/>
        <v/>
      </c>
      <c r="C580" s="47" t="str">
        <f>IF(A580="","",IF(MOD(A580-1,12)=0,C579*(1+Perfil!$C$7),C579))</f>
        <v/>
      </c>
      <c r="D580" s="53" t="str">
        <f t="shared" si="42"/>
        <v/>
      </c>
      <c r="E580" s="54" t="str">
        <f t="shared" si="41"/>
        <v/>
      </c>
      <c r="F580" s="53" t="str">
        <f t="shared" si="43"/>
        <v/>
      </c>
      <c r="G580" s="53" t="str">
        <f t="shared" si="44"/>
        <v/>
      </c>
    </row>
    <row r="581" spans="1:7" ht="16.5">
      <c r="A581" s="51"/>
      <c r="B581" s="52" t="str">
        <f t="shared" si="45"/>
        <v/>
      </c>
      <c r="C581" s="47" t="str">
        <f>IF(A581="","",IF(MOD(A581-1,12)=0,C580*(1+Perfil!$C$7),C580))</f>
        <v/>
      </c>
      <c r="D581" s="53" t="str">
        <f t="shared" si="42"/>
        <v/>
      </c>
      <c r="E581" s="54" t="str">
        <f t="shared" si="41"/>
        <v/>
      </c>
      <c r="F581" s="53" t="str">
        <f t="shared" si="43"/>
        <v/>
      </c>
      <c r="G581" s="53" t="str">
        <f t="shared" si="44"/>
        <v/>
      </c>
    </row>
    <row r="582" spans="1:7" ht="16.5">
      <c r="A582" s="51"/>
      <c r="B582" s="52" t="str">
        <f t="shared" si="45"/>
        <v/>
      </c>
      <c r="C582" s="47" t="str">
        <f>IF(A582="","",IF(MOD(A582-1,12)=0,C581*(1+Perfil!$C$7),C581))</f>
        <v/>
      </c>
      <c r="D582" s="53" t="str">
        <f t="shared" si="42"/>
        <v/>
      </c>
      <c r="E582" s="54" t="str">
        <f t="shared" si="41"/>
        <v/>
      </c>
      <c r="F582" s="53" t="str">
        <f t="shared" si="43"/>
        <v/>
      </c>
      <c r="G582" s="53" t="str">
        <f t="shared" si="44"/>
        <v/>
      </c>
    </row>
    <row r="583" spans="1:7" ht="16.5">
      <c r="A583" s="51"/>
      <c r="B583" s="52" t="str">
        <f t="shared" si="45"/>
        <v/>
      </c>
      <c r="C583" s="47" t="str">
        <f>IF(A583="","",IF(MOD(A583-1,12)=0,C582*(1+Perfil!$C$7),C582))</f>
        <v/>
      </c>
      <c r="D583" s="53" t="str">
        <f t="shared" si="42"/>
        <v/>
      </c>
      <c r="E583" s="54" t="str">
        <f t="shared" si="41"/>
        <v/>
      </c>
      <c r="F583" s="53" t="str">
        <f t="shared" si="43"/>
        <v/>
      </c>
      <c r="G583" s="53" t="str">
        <f t="shared" si="44"/>
        <v/>
      </c>
    </row>
    <row r="584" spans="1:7" ht="16.5">
      <c r="A584" s="51"/>
      <c r="B584" s="52" t="str">
        <f t="shared" si="45"/>
        <v/>
      </c>
      <c r="C584" s="47" t="str">
        <f>IF(A584="","",IF(MOD(A584-1,12)=0,C583*(1+Perfil!$C$7),C583))</f>
        <v/>
      </c>
      <c r="D584" s="53" t="str">
        <f t="shared" si="42"/>
        <v/>
      </c>
      <c r="E584" s="54" t="str">
        <f t="shared" si="41"/>
        <v/>
      </c>
      <c r="F584" s="53" t="str">
        <f t="shared" si="43"/>
        <v/>
      </c>
      <c r="G584" s="53" t="str">
        <f t="shared" si="44"/>
        <v/>
      </c>
    </row>
    <row r="585" spans="1:7" ht="16.5">
      <c r="A585" s="51"/>
      <c r="B585" s="52" t="str">
        <f t="shared" si="45"/>
        <v/>
      </c>
      <c r="C585" s="47" t="str">
        <f>IF(A585="","",IF(MOD(A585-1,12)=0,C584*(1+Perfil!$C$7),C584))</f>
        <v/>
      </c>
      <c r="D585" s="53" t="str">
        <f t="shared" si="42"/>
        <v/>
      </c>
      <c r="E585" s="54" t="str">
        <f t="shared" si="41"/>
        <v/>
      </c>
      <c r="F585" s="53" t="str">
        <f t="shared" si="43"/>
        <v/>
      </c>
      <c r="G585" s="53" t="str">
        <f t="shared" si="44"/>
        <v/>
      </c>
    </row>
    <row r="586" spans="1:7" ht="16.5">
      <c r="A586" s="51"/>
      <c r="B586" s="52" t="str">
        <f t="shared" si="45"/>
        <v/>
      </c>
      <c r="C586" s="47" t="str">
        <f>IF(A586="","",IF(MOD(A586-1,12)=0,C585*(1+Perfil!$C$7),C585))</f>
        <v/>
      </c>
      <c r="D586" s="53" t="str">
        <f t="shared" si="42"/>
        <v/>
      </c>
      <c r="E586" s="54" t="str">
        <f t="shared" si="41"/>
        <v/>
      </c>
      <c r="F586" s="53" t="str">
        <f t="shared" si="43"/>
        <v/>
      </c>
      <c r="G586" s="53" t="str">
        <f t="shared" si="44"/>
        <v/>
      </c>
    </row>
    <row r="587" spans="1:7" ht="16.5">
      <c r="A587" s="51"/>
      <c r="B587" s="52" t="str">
        <f t="shared" si="45"/>
        <v/>
      </c>
      <c r="C587" s="47" t="str">
        <f>IF(A587="","",IF(MOD(A587-1,12)=0,C586*(1+Perfil!$C$7),C586))</f>
        <v/>
      </c>
      <c r="D587" s="53" t="str">
        <f t="shared" si="42"/>
        <v/>
      </c>
      <c r="E587" s="54" t="str">
        <f t="shared" si="41"/>
        <v/>
      </c>
      <c r="F587" s="53" t="str">
        <f t="shared" si="43"/>
        <v/>
      </c>
      <c r="G587" s="53" t="str">
        <f t="shared" si="44"/>
        <v/>
      </c>
    </row>
    <row r="588" spans="1:7" ht="16.5">
      <c r="A588" s="51"/>
      <c r="B588" s="52" t="str">
        <f t="shared" si="45"/>
        <v/>
      </c>
      <c r="C588" s="47" t="str">
        <f>IF(A588="","",IF(MOD(A588-1,12)=0,C587*(1+Perfil!$C$7),C587))</f>
        <v/>
      </c>
      <c r="D588" s="53" t="str">
        <f t="shared" si="42"/>
        <v/>
      </c>
      <c r="E588" s="54" t="str">
        <f t="shared" si="41"/>
        <v/>
      </c>
      <c r="F588" s="53" t="str">
        <f t="shared" si="43"/>
        <v/>
      </c>
      <c r="G588" s="53" t="str">
        <f t="shared" si="44"/>
        <v/>
      </c>
    </row>
    <row r="589" spans="1:7" ht="16.5">
      <c r="A589" s="51"/>
      <c r="B589" s="52" t="str">
        <f t="shared" si="45"/>
        <v/>
      </c>
      <c r="C589" s="47" t="str">
        <f>IF(A589="","",IF(MOD(A589-1,12)=0,C588*(1+Perfil!$C$7),C588))</f>
        <v/>
      </c>
      <c r="D589" s="53" t="str">
        <f t="shared" si="42"/>
        <v/>
      </c>
      <c r="E589" s="54" t="str">
        <f t="shared" si="41"/>
        <v/>
      </c>
      <c r="F589" s="53" t="str">
        <f t="shared" si="43"/>
        <v/>
      </c>
      <c r="G589" s="53" t="str">
        <f t="shared" si="44"/>
        <v/>
      </c>
    </row>
    <row r="590" spans="1:7" ht="16.5">
      <c r="A590" s="51"/>
      <c r="B590" s="52" t="str">
        <f t="shared" si="45"/>
        <v/>
      </c>
      <c r="C590" s="47" t="str">
        <f>IF(A590="","",IF(MOD(A590-1,12)=0,C589*(1+Perfil!$C$7),C589))</f>
        <v/>
      </c>
      <c r="D590" s="53" t="str">
        <f t="shared" si="42"/>
        <v/>
      </c>
      <c r="E590" s="54" t="str">
        <f t="shared" si="41"/>
        <v/>
      </c>
      <c r="F590" s="53" t="str">
        <f t="shared" si="43"/>
        <v/>
      </c>
      <c r="G590" s="53" t="str">
        <f t="shared" si="44"/>
        <v/>
      </c>
    </row>
    <row r="591" spans="1:7" ht="16.5">
      <c r="A591" s="51"/>
      <c r="B591" s="52" t="str">
        <f t="shared" si="45"/>
        <v/>
      </c>
      <c r="C591" s="47" t="str">
        <f>IF(A591="","",IF(MOD(A591-1,12)=0,C590*(1+Perfil!$C$7),C590))</f>
        <v/>
      </c>
      <c r="D591" s="53" t="str">
        <f t="shared" si="42"/>
        <v/>
      </c>
      <c r="E591" s="54" t="str">
        <f t="shared" si="41"/>
        <v/>
      </c>
      <c r="F591" s="53" t="str">
        <f t="shared" si="43"/>
        <v/>
      </c>
      <c r="G591" s="53" t="str">
        <f t="shared" si="44"/>
        <v/>
      </c>
    </row>
    <row r="592" spans="1:7" ht="16.5">
      <c r="A592" s="51"/>
      <c r="B592" s="52" t="str">
        <f t="shared" si="45"/>
        <v/>
      </c>
      <c r="C592" s="47" t="str">
        <f>IF(A592="","",IF(MOD(A592-1,12)=0,C591*(1+Perfil!$C$7),C591))</f>
        <v/>
      </c>
      <c r="D592" s="53" t="str">
        <f t="shared" si="42"/>
        <v/>
      </c>
      <c r="E592" s="54" t="str">
        <f t="shared" si="41"/>
        <v/>
      </c>
      <c r="F592" s="53" t="str">
        <f t="shared" si="43"/>
        <v/>
      </c>
      <c r="G592" s="53" t="str">
        <f t="shared" si="44"/>
        <v/>
      </c>
    </row>
    <row r="593" spans="1:7" ht="16.5">
      <c r="A593" s="51"/>
      <c r="B593" s="52" t="str">
        <f t="shared" si="45"/>
        <v/>
      </c>
      <c r="C593" s="47" t="str">
        <f>IF(A593="","",IF(MOD(A593-1,12)=0,C592*(1+Perfil!$C$7),C592))</f>
        <v/>
      </c>
      <c r="D593" s="53" t="str">
        <f t="shared" si="42"/>
        <v/>
      </c>
      <c r="E593" s="54" t="str">
        <f t="shared" si="41"/>
        <v/>
      </c>
      <c r="F593" s="53" t="str">
        <f t="shared" si="43"/>
        <v/>
      </c>
      <c r="G593" s="53" t="str">
        <f t="shared" si="44"/>
        <v/>
      </c>
    </row>
    <row r="594" spans="1:7" ht="16.5">
      <c r="A594" s="51"/>
      <c r="B594" s="52" t="str">
        <f t="shared" si="45"/>
        <v/>
      </c>
      <c r="C594" s="47" t="str">
        <f>IF(A594="","",IF(MOD(A594-1,12)=0,C593*(1+Perfil!$C$7),C593))</f>
        <v/>
      </c>
      <c r="D594" s="53" t="str">
        <f t="shared" si="42"/>
        <v/>
      </c>
      <c r="E594" s="54" t="str">
        <f t="shared" si="41"/>
        <v/>
      </c>
      <c r="F594" s="53" t="str">
        <f t="shared" si="43"/>
        <v/>
      </c>
      <c r="G594" s="53" t="str">
        <f t="shared" si="44"/>
        <v/>
      </c>
    </row>
    <row r="595" spans="1:7" ht="16.5">
      <c r="A595" s="51"/>
      <c r="B595" s="52" t="str">
        <f t="shared" si="45"/>
        <v/>
      </c>
      <c r="C595" s="47" t="str">
        <f>IF(A595="","",IF(MOD(A595-1,12)=0,C594*(1+Perfil!$C$7),C594))</f>
        <v/>
      </c>
      <c r="D595" s="53" t="str">
        <f t="shared" si="42"/>
        <v/>
      </c>
      <c r="E595" s="54" t="str">
        <f t="shared" si="41"/>
        <v/>
      </c>
      <c r="F595" s="53" t="str">
        <f t="shared" si="43"/>
        <v/>
      </c>
      <c r="G595" s="53" t="str">
        <f t="shared" si="44"/>
        <v/>
      </c>
    </row>
    <row r="596" spans="1:7" ht="16.5">
      <c r="A596" s="51"/>
      <c r="B596" s="52" t="str">
        <f t="shared" si="45"/>
        <v/>
      </c>
      <c r="C596" s="47" t="str">
        <f>IF(A596="","",IF(MOD(A596-1,12)=0,C595*(1+Perfil!$C$7),C595))</f>
        <v/>
      </c>
      <c r="D596" s="53" t="str">
        <f t="shared" si="42"/>
        <v/>
      </c>
      <c r="E596" s="54" t="str">
        <f t="shared" si="41"/>
        <v/>
      </c>
      <c r="F596" s="53" t="str">
        <f t="shared" si="43"/>
        <v/>
      </c>
      <c r="G596" s="53" t="str">
        <f t="shared" si="44"/>
        <v/>
      </c>
    </row>
    <row r="597" spans="1:7" ht="16.5">
      <c r="A597" s="51"/>
      <c r="B597" s="52" t="str">
        <f t="shared" si="45"/>
        <v/>
      </c>
      <c r="C597" s="47" t="str">
        <f>IF(A597="","",IF(MOD(A597-1,12)=0,C596*(1+Perfil!$C$7),C596))</f>
        <v/>
      </c>
      <c r="D597" s="53" t="str">
        <f t="shared" si="42"/>
        <v/>
      </c>
      <c r="E597" s="54" t="str">
        <f t="shared" ref="E597:E619" si="46">IF(A597="","",$C$10)</f>
        <v/>
      </c>
      <c r="F597" s="53" t="str">
        <f t="shared" si="43"/>
        <v/>
      </c>
      <c r="G597" s="53" t="str">
        <f t="shared" si="44"/>
        <v/>
      </c>
    </row>
    <row r="598" spans="1:7" ht="16.5">
      <c r="A598" s="51"/>
      <c r="B598" s="52" t="str">
        <f t="shared" si="45"/>
        <v/>
      </c>
      <c r="C598" s="47" t="str">
        <f>IF(A598="","",IF(MOD(A598-1,12)=0,C597*(1+Perfil!$C$7),C597))</f>
        <v/>
      </c>
      <c r="D598" s="53" t="str">
        <f t="shared" ref="D598:D619" si="47">IF(A598="","",B598+C598)</f>
        <v/>
      </c>
      <c r="E598" s="54" t="str">
        <f t="shared" si="46"/>
        <v/>
      </c>
      <c r="F598" s="53" t="str">
        <f t="shared" ref="F598:F619" si="48">IF(A598="","",D598*E598)</f>
        <v/>
      </c>
      <c r="G598" s="53" t="str">
        <f t="shared" ref="G598:G619" si="49">IF(A598="","",D598+F598)</f>
        <v/>
      </c>
    </row>
    <row r="599" spans="1:7" ht="16.5">
      <c r="A599" s="51"/>
      <c r="B599" s="52" t="str">
        <f t="shared" si="45"/>
        <v/>
      </c>
      <c r="C599" s="47" t="str">
        <f>IF(A599="","",IF(MOD(A599-1,12)=0,C598*(1+Perfil!$C$7),C598))</f>
        <v/>
      </c>
      <c r="D599" s="53" t="str">
        <f t="shared" si="47"/>
        <v/>
      </c>
      <c r="E599" s="54" t="str">
        <f t="shared" si="46"/>
        <v/>
      </c>
      <c r="F599" s="53" t="str">
        <f t="shared" si="48"/>
        <v/>
      </c>
      <c r="G599" s="53" t="str">
        <f t="shared" si="49"/>
        <v/>
      </c>
    </row>
    <row r="600" spans="1:7" ht="16.5">
      <c r="A600" s="51"/>
      <c r="B600" s="52" t="str">
        <f t="shared" si="45"/>
        <v/>
      </c>
      <c r="C600" s="47" t="str">
        <f>IF(A600="","",IF(MOD(A600-1,12)=0,C599*(1+Perfil!$C$7),C599))</f>
        <v/>
      </c>
      <c r="D600" s="53" t="str">
        <f t="shared" si="47"/>
        <v/>
      </c>
      <c r="E600" s="54" t="str">
        <f t="shared" si="46"/>
        <v/>
      </c>
      <c r="F600" s="53" t="str">
        <f t="shared" si="48"/>
        <v/>
      </c>
      <c r="G600" s="53" t="str">
        <f t="shared" si="49"/>
        <v/>
      </c>
    </row>
    <row r="601" spans="1:7" ht="16.5">
      <c r="A601" s="51"/>
      <c r="B601" s="52" t="str">
        <f t="shared" si="45"/>
        <v/>
      </c>
      <c r="C601" s="47" t="str">
        <f>IF(A601="","",IF(MOD(A601-1,12)=0,C600*(1+Perfil!$C$7),C600))</f>
        <v/>
      </c>
      <c r="D601" s="53" t="str">
        <f t="shared" si="47"/>
        <v/>
      </c>
      <c r="E601" s="54" t="str">
        <f t="shared" si="46"/>
        <v/>
      </c>
      <c r="F601" s="53" t="str">
        <f t="shared" si="48"/>
        <v/>
      </c>
      <c r="G601" s="53" t="str">
        <f t="shared" si="49"/>
        <v/>
      </c>
    </row>
    <row r="602" spans="1:7" ht="16.5">
      <c r="A602" s="51"/>
      <c r="B602" s="52" t="str">
        <f t="shared" si="45"/>
        <v/>
      </c>
      <c r="C602" s="47" t="str">
        <f>IF(A602="","",IF(MOD(A602-1,12)=0,C601*(1+Perfil!$C$7),C601))</f>
        <v/>
      </c>
      <c r="D602" s="53" t="str">
        <f t="shared" si="47"/>
        <v/>
      </c>
      <c r="E602" s="54" t="str">
        <f t="shared" si="46"/>
        <v/>
      </c>
      <c r="F602" s="53" t="str">
        <f t="shared" si="48"/>
        <v/>
      </c>
      <c r="G602" s="53" t="str">
        <f t="shared" si="49"/>
        <v/>
      </c>
    </row>
    <row r="603" spans="1:7" ht="16.5">
      <c r="A603" s="51"/>
      <c r="B603" s="52" t="str">
        <f t="shared" si="45"/>
        <v/>
      </c>
      <c r="C603" s="47" t="str">
        <f>IF(A603="","",IF(MOD(A603-1,12)=0,C602*(1+Perfil!$C$7),C602))</f>
        <v/>
      </c>
      <c r="D603" s="53" t="str">
        <f t="shared" si="47"/>
        <v/>
      </c>
      <c r="E603" s="54" t="str">
        <f t="shared" si="46"/>
        <v/>
      </c>
      <c r="F603" s="53" t="str">
        <f t="shared" si="48"/>
        <v/>
      </c>
      <c r="G603" s="53" t="str">
        <f t="shared" si="49"/>
        <v/>
      </c>
    </row>
    <row r="604" spans="1:7" ht="16.5">
      <c r="A604" s="51"/>
      <c r="B604" s="52" t="str">
        <f t="shared" si="45"/>
        <v/>
      </c>
      <c r="C604" s="47" t="str">
        <f>IF(A604="","",IF(MOD(A604-1,12)=0,C603*(1+Perfil!$C$7),C603))</f>
        <v/>
      </c>
      <c r="D604" s="53" t="str">
        <f t="shared" si="47"/>
        <v/>
      </c>
      <c r="E604" s="54" t="str">
        <f t="shared" si="46"/>
        <v/>
      </c>
      <c r="F604" s="53" t="str">
        <f t="shared" si="48"/>
        <v/>
      </c>
      <c r="G604" s="53" t="str">
        <f t="shared" si="49"/>
        <v/>
      </c>
    </row>
    <row r="605" spans="1:7" ht="16.5">
      <c r="A605" s="51"/>
      <c r="B605" s="52" t="str">
        <f t="shared" si="45"/>
        <v/>
      </c>
      <c r="C605" s="47" t="str">
        <f>IF(A605="","",IF(MOD(A605-1,12)=0,C604*(1+Perfil!$C$7),C604))</f>
        <v/>
      </c>
      <c r="D605" s="53" t="str">
        <f t="shared" si="47"/>
        <v/>
      </c>
      <c r="E605" s="54" t="str">
        <f t="shared" si="46"/>
        <v/>
      </c>
      <c r="F605" s="53" t="str">
        <f t="shared" si="48"/>
        <v/>
      </c>
      <c r="G605" s="53" t="str">
        <f t="shared" si="49"/>
        <v/>
      </c>
    </row>
    <row r="606" spans="1:7" ht="16.5">
      <c r="A606" s="51"/>
      <c r="B606" s="52" t="str">
        <f t="shared" si="45"/>
        <v/>
      </c>
      <c r="C606" s="47" t="str">
        <f>IF(A606="","",IF(MOD(A606-1,12)=0,C605*(1+Perfil!$C$7),C605))</f>
        <v/>
      </c>
      <c r="D606" s="53" t="str">
        <f t="shared" si="47"/>
        <v/>
      </c>
      <c r="E606" s="54" t="str">
        <f t="shared" si="46"/>
        <v/>
      </c>
      <c r="F606" s="53" t="str">
        <f t="shared" si="48"/>
        <v/>
      </c>
      <c r="G606" s="53" t="str">
        <f t="shared" si="49"/>
        <v/>
      </c>
    </row>
    <row r="607" spans="1:7" ht="16.5">
      <c r="A607" s="51"/>
      <c r="B607" s="52" t="str">
        <f t="shared" si="45"/>
        <v/>
      </c>
      <c r="C607" s="47" t="str">
        <f>IF(A607="","",IF(MOD(A607-1,12)=0,C606*(1+Perfil!$C$7),C606))</f>
        <v/>
      </c>
      <c r="D607" s="53" t="str">
        <f t="shared" si="47"/>
        <v/>
      </c>
      <c r="E607" s="54" t="str">
        <f t="shared" si="46"/>
        <v/>
      </c>
      <c r="F607" s="53" t="str">
        <f t="shared" si="48"/>
        <v/>
      </c>
      <c r="G607" s="53" t="str">
        <f t="shared" si="49"/>
        <v/>
      </c>
    </row>
    <row r="608" spans="1:7" ht="16.5">
      <c r="A608" s="51"/>
      <c r="B608" s="52" t="str">
        <f t="shared" si="45"/>
        <v/>
      </c>
      <c r="C608" s="47" t="str">
        <f>IF(A608="","",IF(MOD(A608-1,12)=0,C607*(1+Perfil!$C$7),C607))</f>
        <v/>
      </c>
      <c r="D608" s="53" t="str">
        <f t="shared" si="47"/>
        <v/>
      </c>
      <c r="E608" s="54" t="str">
        <f t="shared" si="46"/>
        <v/>
      </c>
      <c r="F608" s="53" t="str">
        <f t="shared" si="48"/>
        <v/>
      </c>
      <c r="G608" s="53" t="str">
        <f t="shared" si="49"/>
        <v/>
      </c>
    </row>
    <row r="609" spans="1:7" ht="16.5">
      <c r="A609" s="51"/>
      <c r="B609" s="52" t="str">
        <f t="shared" si="45"/>
        <v/>
      </c>
      <c r="C609" s="47" t="str">
        <f>IF(A609="","",IF(MOD(A609-1,12)=0,C608*(1+Perfil!$C$7),C608))</f>
        <v/>
      </c>
      <c r="D609" s="53" t="str">
        <f t="shared" si="47"/>
        <v/>
      </c>
      <c r="E609" s="54" t="str">
        <f t="shared" si="46"/>
        <v/>
      </c>
      <c r="F609" s="53" t="str">
        <f t="shared" si="48"/>
        <v/>
      </c>
      <c r="G609" s="53" t="str">
        <f t="shared" si="49"/>
        <v/>
      </c>
    </row>
    <row r="610" spans="1:7" ht="16.5">
      <c r="A610" s="51"/>
      <c r="B610" s="52" t="str">
        <f t="shared" si="45"/>
        <v/>
      </c>
      <c r="C610" s="47" t="str">
        <f>IF(A610="","",IF(MOD(A610-1,12)=0,C609*(1+Perfil!$C$7),C609))</f>
        <v/>
      </c>
      <c r="D610" s="53" t="str">
        <f t="shared" si="47"/>
        <v/>
      </c>
      <c r="E610" s="54" t="str">
        <f t="shared" si="46"/>
        <v/>
      </c>
      <c r="F610" s="53" t="str">
        <f t="shared" si="48"/>
        <v/>
      </c>
      <c r="G610" s="53" t="str">
        <f t="shared" si="49"/>
        <v/>
      </c>
    </row>
    <row r="611" spans="1:7" ht="16.5">
      <c r="A611" s="51"/>
      <c r="B611" s="52" t="str">
        <f t="shared" si="45"/>
        <v/>
      </c>
      <c r="C611" s="47" t="str">
        <f>IF(A611="","",IF(MOD(A611-1,12)=0,C610*(1+Perfil!$C$7),C610))</f>
        <v/>
      </c>
      <c r="D611" s="53" t="str">
        <f t="shared" si="47"/>
        <v/>
      </c>
      <c r="E611" s="54" t="str">
        <f t="shared" si="46"/>
        <v/>
      </c>
      <c r="F611" s="53" t="str">
        <f t="shared" si="48"/>
        <v/>
      </c>
      <c r="G611" s="53" t="str">
        <f t="shared" si="49"/>
        <v/>
      </c>
    </row>
    <row r="612" spans="1:7" ht="16.5">
      <c r="A612" s="51"/>
      <c r="B612" s="52" t="str">
        <f t="shared" si="45"/>
        <v/>
      </c>
      <c r="C612" s="47" t="str">
        <f>IF(A612="","",IF(MOD(A612-1,12)=0,C611*(1+Perfil!$C$7),C611))</f>
        <v/>
      </c>
      <c r="D612" s="53" t="str">
        <f t="shared" si="47"/>
        <v/>
      </c>
      <c r="E612" s="54" t="str">
        <f t="shared" si="46"/>
        <v/>
      </c>
      <c r="F612" s="53" t="str">
        <f t="shared" si="48"/>
        <v/>
      </c>
      <c r="G612" s="53" t="str">
        <f t="shared" si="49"/>
        <v/>
      </c>
    </row>
    <row r="613" spans="1:7" ht="16.5">
      <c r="A613" s="51"/>
      <c r="B613" s="52" t="str">
        <f t="shared" si="45"/>
        <v/>
      </c>
      <c r="C613" s="47" t="str">
        <f>IF(A613="","",IF(MOD(A613-1,12)=0,C612*(1+Perfil!$C$7),C612))</f>
        <v/>
      </c>
      <c r="D613" s="53" t="str">
        <f t="shared" si="47"/>
        <v/>
      </c>
      <c r="E613" s="54" t="str">
        <f t="shared" si="46"/>
        <v/>
      </c>
      <c r="F613" s="53" t="str">
        <f t="shared" si="48"/>
        <v/>
      </c>
      <c r="G613" s="53" t="str">
        <f t="shared" si="49"/>
        <v/>
      </c>
    </row>
    <row r="614" spans="1:7" ht="16.5">
      <c r="A614" s="51"/>
      <c r="B614" s="52" t="str">
        <f t="shared" si="45"/>
        <v/>
      </c>
      <c r="C614" s="47" t="str">
        <f>IF(A614="","",IF(MOD(A614-1,12)=0,C613*(1+Perfil!$C$7),C613))</f>
        <v/>
      </c>
      <c r="D614" s="53" t="str">
        <f t="shared" si="47"/>
        <v/>
      </c>
      <c r="E614" s="54" t="str">
        <f t="shared" si="46"/>
        <v/>
      </c>
      <c r="F614" s="53" t="str">
        <f t="shared" si="48"/>
        <v/>
      </c>
      <c r="G614" s="53" t="str">
        <f t="shared" si="49"/>
        <v/>
      </c>
    </row>
    <row r="615" spans="1:7" ht="16.5">
      <c r="A615" s="51"/>
      <c r="B615" s="52" t="str">
        <f t="shared" si="45"/>
        <v/>
      </c>
      <c r="C615" s="47" t="str">
        <f>IF(A615="","",IF(MOD(A615-1,12)=0,C614*(1+Perfil!$C$7),C614))</f>
        <v/>
      </c>
      <c r="D615" s="53" t="str">
        <f t="shared" si="47"/>
        <v/>
      </c>
      <c r="E615" s="54" t="str">
        <f t="shared" si="46"/>
        <v/>
      </c>
      <c r="F615" s="53" t="str">
        <f t="shared" si="48"/>
        <v/>
      </c>
      <c r="G615" s="53" t="str">
        <f t="shared" si="49"/>
        <v/>
      </c>
    </row>
    <row r="616" spans="1:7" ht="16.5">
      <c r="A616" s="51"/>
      <c r="B616" s="52" t="str">
        <f t="shared" si="45"/>
        <v/>
      </c>
      <c r="C616" s="47" t="str">
        <f>IF(A616="","",IF(MOD(A616-1,12)=0,C615*(1+Perfil!$C$7),C615))</f>
        <v/>
      </c>
      <c r="D616" s="53" t="str">
        <f t="shared" si="47"/>
        <v/>
      </c>
      <c r="E616" s="54" t="str">
        <f t="shared" si="46"/>
        <v/>
      </c>
      <c r="F616" s="53" t="str">
        <f t="shared" si="48"/>
        <v/>
      </c>
      <c r="G616" s="53" t="str">
        <f t="shared" si="49"/>
        <v/>
      </c>
    </row>
    <row r="617" spans="1:7" ht="16.5">
      <c r="A617" s="51"/>
      <c r="B617" s="52" t="str">
        <f t="shared" si="45"/>
        <v/>
      </c>
      <c r="C617" s="47" t="str">
        <f>IF(A617="","",IF(MOD(A617-1,12)=0,C616*(1+Perfil!$C$7),C616))</f>
        <v/>
      </c>
      <c r="D617" s="53" t="str">
        <f t="shared" si="47"/>
        <v/>
      </c>
      <c r="E617" s="54" t="str">
        <f t="shared" si="46"/>
        <v/>
      </c>
      <c r="F617" s="53" t="str">
        <f t="shared" si="48"/>
        <v/>
      </c>
      <c r="G617" s="53" t="str">
        <f t="shared" si="49"/>
        <v/>
      </c>
    </row>
    <row r="618" spans="1:7" ht="16.5">
      <c r="A618" s="51"/>
      <c r="B618" s="52" t="str">
        <f t="shared" si="45"/>
        <v/>
      </c>
      <c r="C618" s="47" t="str">
        <f>IF(A618="","",IF(MOD(A618-1,12)=0,C617*(1+Perfil!$C$7),C617))</f>
        <v/>
      </c>
      <c r="D618" s="53" t="str">
        <f t="shared" si="47"/>
        <v/>
      </c>
      <c r="E618" s="54" t="str">
        <f t="shared" si="46"/>
        <v/>
      </c>
      <c r="F618" s="53" t="str">
        <f t="shared" si="48"/>
        <v/>
      </c>
      <c r="G618" s="53" t="str">
        <f t="shared" si="49"/>
        <v/>
      </c>
    </row>
    <row r="619" spans="1:7" ht="16.5">
      <c r="A619" s="51"/>
      <c r="B619" s="52" t="str">
        <f t="shared" si="45"/>
        <v/>
      </c>
      <c r="C619" s="47" t="str">
        <f>IF(A619="","",IF(MOD(A619-1,12)=0,C618*(1+Perfil!$C$7),C618))</f>
        <v/>
      </c>
      <c r="D619" s="53" t="str">
        <f t="shared" si="47"/>
        <v/>
      </c>
      <c r="E619" s="54" t="str">
        <f t="shared" si="46"/>
        <v/>
      </c>
      <c r="F619" s="53" t="str">
        <f t="shared" si="48"/>
        <v/>
      </c>
      <c r="G619" s="53" t="str">
        <f t="shared" si="49"/>
        <v/>
      </c>
    </row>
  </sheetData>
  <mergeCells count="1">
    <mergeCell ref="B2:C2"/>
  </mergeCells>
  <dataValidations count="1">
    <dataValidation type="list" allowBlank="1" showInputMessage="1" showErrorMessage="1" sqref="C8" xr:uid="{B2457D62-EB5B-4393-9842-1A3CF438EA38}">
      <formula1>"Base,Otimista,Estressado"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715A-1A34-42BB-88A1-588012FBC943}">
  <dimension ref="A1:S34"/>
  <sheetViews>
    <sheetView showGridLines="0" showRowColHeaders="0" workbookViewId="0">
      <selection activeCell="J20" sqref="J20"/>
    </sheetView>
  </sheetViews>
  <sheetFormatPr defaultColWidth="0" defaultRowHeight="15" zeroHeight="1"/>
  <cols>
    <col min="1" max="9" width="9.140625" customWidth="1"/>
    <col min="10" max="10" width="28.7109375" bestFit="1" customWidth="1"/>
    <col min="11" max="11" width="20" bestFit="1" customWidth="1"/>
    <col min="12" max="12" width="13.42578125" bestFit="1" customWidth="1"/>
    <col min="13" max="13" width="9.140625" customWidth="1"/>
    <col min="14" max="19" width="0" hidden="1" customWidth="1"/>
    <col min="20" max="16384" width="9.140625" hidden="1"/>
  </cols>
  <sheetData>
    <row r="1" spans="1:13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74">
        <f>SUM(Simulador!C20:C619)+Perfil!C5</f>
        <v>78261.200000000026</v>
      </c>
    </row>
    <row r="2" spans="1:13">
      <c r="A2" s="66"/>
      <c r="B2" s="66"/>
      <c r="C2" s="66" t="s">
        <v>45</v>
      </c>
      <c r="D2" s="66"/>
      <c r="E2" s="66"/>
      <c r="F2" s="66"/>
      <c r="G2" s="66"/>
      <c r="H2" s="66"/>
      <c r="I2" s="66"/>
      <c r="J2" s="66"/>
      <c r="K2" s="66"/>
      <c r="L2" s="66"/>
      <c r="M2" s="75">
        <f>LOOKUP(9.99E+307, Simulador!G:G)</f>
        <v>102086.38816165298</v>
      </c>
    </row>
    <row r="3" spans="1:1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74">
        <f>M2-M1</f>
        <v>23825.188161652957</v>
      </c>
    </row>
    <row r="4" spans="1:13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74">
        <f>M2*Simulador!C10</f>
        <v>860.14643659731837</v>
      </c>
    </row>
    <row r="5" spans="1:13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76">
        <f>(M2/Perfil!C5)^(1/prazo)-1</f>
        <v>0.8280983929192105</v>
      </c>
    </row>
    <row r="6" spans="1:1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</row>
    <row r="8" spans="1:1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</row>
    <row r="9" spans="1:1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</row>
    <row r="10" spans="1:1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</row>
    <row r="11" spans="1:13" ht="17.25">
      <c r="A11" s="66"/>
      <c r="B11" s="66"/>
      <c r="C11" s="66"/>
      <c r="D11" s="66"/>
      <c r="E11" s="66"/>
      <c r="F11" s="66"/>
      <c r="G11" s="66"/>
      <c r="H11" s="66"/>
      <c r="I11" s="66"/>
      <c r="J11" s="70" t="s">
        <v>46</v>
      </c>
      <c r="K11" s="70" t="s">
        <v>48</v>
      </c>
      <c r="L11" s="70" t="s">
        <v>47</v>
      </c>
      <c r="M11" s="66"/>
    </row>
    <row r="12" spans="1:13" ht="17.25">
      <c r="A12" s="66"/>
      <c r="B12" s="66"/>
      <c r="C12" s="66"/>
      <c r="D12" s="66"/>
      <c r="E12" s="66"/>
      <c r="F12" s="66"/>
      <c r="G12" s="66"/>
      <c r="H12" s="66"/>
      <c r="I12" s="66"/>
      <c r="J12" s="71" t="s">
        <v>28</v>
      </c>
      <c r="K12" s="72">
        <f>Ativos!G6</f>
        <v>0.6</v>
      </c>
      <c r="L12" s="73">
        <f>Perfil!$C$6*Tabela1[[#This Row],[% SUGERIDO]]</f>
        <v>600</v>
      </c>
      <c r="M12" s="66"/>
    </row>
    <row r="13" spans="1:13" ht="17.25">
      <c r="A13" s="66"/>
      <c r="B13" s="66"/>
      <c r="C13" s="66"/>
      <c r="D13" s="66"/>
      <c r="E13" s="66"/>
      <c r="F13" s="66"/>
      <c r="G13" s="66"/>
      <c r="H13" s="66"/>
      <c r="I13" s="66"/>
      <c r="J13" s="71" t="s">
        <v>21</v>
      </c>
      <c r="K13" s="72">
        <f>Ativos!G7</f>
        <v>0.3</v>
      </c>
      <c r="L13" s="73">
        <f>Perfil!$C$6*Tabela1[[#This Row],[% SUGERIDO]]</f>
        <v>300</v>
      </c>
      <c r="M13" s="66"/>
    </row>
    <row r="14" spans="1:13" ht="17.25">
      <c r="A14" s="66"/>
      <c r="B14" s="66"/>
      <c r="C14" s="66"/>
      <c r="D14" s="66"/>
      <c r="E14" s="66"/>
      <c r="F14" s="66"/>
      <c r="G14" s="66"/>
      <c r="H14" s="66"/>
      <c r="I14" s="66"/>
      <c r="J14" s="71" t="s">
        <v>3</v>
      </c>
      <c r="K14" s="72">
        <f>Ativos!G8</f>
        <v>0.05</v>
      </c>
      <c r="L14" s="73">
        <f>Perfil!$C$6*Tabela1[[#This Row],[% SUGERIDO]]</f>
        <v>50</v>
      </c>
      <c r="M14" s="66"/>
    </row>
    <row r="15" spans="1:13" ht="17.25">
      <c r="A15" s="66"/>
      <c r="B15" s="66"/>
      <c r="C15" s="66"/>
      <c r="D15" s="66"/>
      <c r="E15" s="66"/>
      <c r="F15" s="66"/>
      <c r="G15" s="66"/>
      <c r="H15" s="66"/>
      <c r="I15" s="66"/>
      <c r="J15" s="71" t="s">
        <v>29</v>
      </c>
      <c r="K15" s="72">
        <f>Ativos!G9</f>
        <v>0.05</v>
      </c>
      <c r="L15" s="73">
        <f>Perfil!$C$6*Tabela1[[#This Row],[% SUGERIDO]]</f>
        <v>50</v>
      </c>
      <c r="M15" s="66"/>
    </row>
    <row r="16" spans="1:1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</row>
    <row r="17" spans="1:1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</row>
    <row r="18" spans="1:1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</row>
    <row r="19" spans="1:1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</row>
    <row r="20" spans="1:1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</row>
    <row r="21" spans="1:1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</row>
    <row r="22" spans="1:1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</row>
    <row r="33" customFormat="1" hidden="1"/>
    <row r="34" customFormat="1" hidden="1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Perfil</vt:lpstr>
      <vt:lpstr>Ativos</vt:lpstr>
      <vt:lpstr>Simulador</vt:lpstr>
      <vt:lpstr>Painel</vt:lpstr>
      <vt:lpstr>objetivo</vt:lpstr>
      <vt:lpstr>prazo</vt:lpstr>
      <vt:lpstr>tolerancia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Jader Jesus</dc:creator>
  <cp:lastModifiedBy>Jader Jesus</cp:lastModifiedBy>
  <dcterms:created xsi:type="dcterms:W3CDTF">2026-01-27T11:21:38Z</dcterms:created>
  <dcterms:modified xsi:type="dcterms:W3CDTF">2026-02-03T18:45:00Z</dcterms:modified>
</cp:coreProperties>
</file>